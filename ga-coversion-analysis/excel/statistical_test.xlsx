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fag\Downloads\ga-coversion-analysis\excel\"/>
    </mc:Choice>
  </mc:AlternateContent>
  <xr:revisionPtr revIDLastSave="0" documentId="13_ncr:1_{A4334716-1409-482E-B3A9-CCD5D2F20F6F}" xr6:coauthVersionLast="47" xr6:coauthVersionMax="47" xr10:uidLastSave="{00000000-0000-0000-0000-000000000000}"/>
  <bookViews>
    <workbookView xWindow="9630" yWindow="2230" windowWidth="12220" windowHeight="8170" activeTab="1" xr2:uid="{2C381D5E-8011-4839-93AA-DE4F033D5054}"/>
  </bookViews>
  <sheets>
    <sheet name="Chi-Square Test" sheetId="1" r:id="rId1"/>
    <sheet name="T-Test AOV" sheetId="2" r:id="rId2"/>
    <sheet name="converter_revenue" sheetId="4" r:id="rId3"/>
    <sheet name="Sheet2" sheetId="3" r:id="rId4"/>
  </sheets>
  <definedNames>
    <definedName name="ExternalData_1" localSheetId="2" hidden="1">'converter_revenue'!$A$1:$E$689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6" i="2" l="1"/>
  <c r="E15" i="2"/>
  <c r="E12" i="2"/>
  <c r="E11" i="2"/>
  <c r="F7" i="2"/>
  <c r="F6" i="2"/>
  <c r="E7" i="2"/>
  <c r="E6" i="2"/>
  <c r="F5" i="2"/>
  <c r="E5" i="2"/>
  <c r="F4" i="2"/>
  <c r="E4" i="2"/>
  <c r="F3" i="2"/>
  <c r="E3" i="2"/>
  <c r="F2" i="2"/>
  <c r="E2" i="2"/>
  <c r="D23" i="1"/>
  <c r="C23" i="1"/>
  <c r="D22" i="1"/>
  <c r="C22" i="1"/>
  <c r="B23" i="1"/>
  <c r="B22" i="1"/>
  <c r="B17" i="1"/>
  <c r="C8" i="1"/>
  <c r="B11" i="1"/>
  <c r="B12" i="1" s="1"/>
  <c r="B18" i="1"/>
  <c r="B16" i="1"/>
  <c r="B15" i="1"/>
  <c r="C7" i="1"/>
  <c r="B8" i="1"/>
  <c r="B7" i="1"/>
  <c r="C4" i="1"/>
  <c r="D4" i="1"/>
  <c r="B4" i="1"/>
  <c r="D3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A74701-EA09-4044-B7EE-F9CDB2742AD9}" keepAlive="1" name="Query - converter_revenue" description="Connection to the 'converter_revenue' query in the workbook." type="5" refreshedVersion="8" background="1" saveData="1">
    <dbPr connection="Provider=Microsoft.Mashup.OleDb.1;Data Source=$Workbook$;Location=converter_revenue;Extended Properties=&quot;&quot;" command="SELECT * FROM [converter_revenue]"/>
  </connection>
</connections>
</file>

<file path=xl/sharedStrings.xml><?xml version="1.0" encoding="utf-8"?>
<sst xmlns="http://schemas.openxmlformats.org/spreadsheetml/2006/main" count="737" uniqueCount="40">
  <si>
    <t>Desktop</t>
  </si>
  <si>
    <t>Mobile</t>
  </si>
  <si>
    <t>Column Total</t>
  </si>
  <si>
    <t>Converted</t>
  </si>
  <si>
    <t>Not Converted</t>
  </si>
  <si>
    <t>Row Total</t>
  </si>
  <si>
    <t>Expected</t>
  </si>
  <si>
    <t>P-value:</t>
  </si>
  <si>
    <t>Significant at a=0.05?</t>
  </si>
  <si>
    <t>Effect Size</t>
  </si>
  <si>
    <t>Desktop conv.rate</t>
  </si>
  <si>
    <t>Mobile conv.rate</t>
  </si>
  <si>
    <t>Absolute difference</t>
  </si>
  <si>
    <t>Relative lift</t>
  </si>
  <si>
    <t>95% Confidence Intervals</t>
  </si>
  <si>
    <t>Rate</t>
  </si>
  <si>
    <t>Lower CI</t>
  </si>
  <si>
    <t>Upper CI</t>
  </si>
  <si>
    <t>A chi-square test of independence found a statistically significant association between device category and conversion (p &lt; 0.001). Desktop users converted at 1.41% (95% CI: 1.30% – 1.52%), while mobile users converted at 0.40% (95% CI: 0.31% – 0.50%). The non-overlapping confidence intervals and the 3.5x relative gap suggest the difference is both statistically and practically significant. Recommendation: investigate mobile UX and checkout friction as priority areas</t>
  </si>
  <si>
    <t>device</t>
  </si>
  <si>
    <t>fullVisitorId</t>
  </si>
  <si>
    <t>visitId</t>
  </si>
  <si>
    <t>transactions</t>
  </si>
  <si>
    <t>revenue_usd</t>
  </si>
  <si>
    <t>desktop</t>
  </si>
  <si>
    <t>mobile</t>
  </si>
  <si>
    <t>Desktop Revenue</t>
  </si>
  <si>
    <t>Mobile Revenue</t>
  </si>
  <si>
    <t>Statistic</t>
  </si>
  <si>
    <t>Count</t>
  </si>
  <si>
    <t>Mean (AOV)</t>
  </si>
  <si>
    <t>Median</t>
  </si>
  <si>
    <t>Std Deviation</t>
  </si>
  <si>
    <t>Min</t>
  </si>
  <si>
    <t>Max</t>
  </si>
  <si>
    <t>T-Test (Welch's, two-tailed):</t>
  </si>
  <si>
    <t>Mean difference ($)</t>
  </si>
  <si>
    <t>Relative difference (%)</t>
  </si>
  <si>
    <t>Interpretation</t>
  </si>
  <si>
    <t>*"A Welch's two-sample t-test compared average order value between desktop converters (n=614, mean=X,median=X, median= X,median=Y) and mobile converters (n=73, mean=X,median=X, median= X,median=Y). The test returned p=[your value], indicating [a statistically significant / no statistically significant] difference in AOV between groups. Note: revenue data is right-skewed (mean exceeds median substantially), which violates the t-test's normality assumption. The large desktop sample (n=614) provides robustness via the Central Limit Theorem, but the smaller mobile sample (n=73) is more sensitive to skew. Median values are reported alongside means for transparency."*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</si>
</sst>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7" formatCode="&quot;$&quot;#,##0.00"/>
    <numFmt numFmtId="178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1" fontId="0" fillId="0" borderId="0" xfId="0" applyNumberFormat="1"/>
    <xf numFmtId="2" fontId="0" fillId="0" borderId="0" xfId="1" applyNumberFormat="1" applyFont="1"/>
    <xf numFmtId="0" fontId="0" fillId="0" borderId="0" xfId="0" applyNumberFormat="1"/>
    <xf numFmtId="0" fontId="0" fillId="0" borderId="0" xfId="0" applyFont="1" applyFill="1" applyBorder="1"/>
    <xf numFmtId="167" fontId="0" fillId="0" borderId="0" xfId="0" applyNumberFormat="1"/>
    <xf numFmtId="10" fontId="0" fillId="0" borderId="0" xfId="1" applyNumberFormat="1" applyFont="1"/>
    <xf numFmtId="178" fontId="0" fillId="0" borderId="0" xfId="0" applyNumberFormat="1"/>
  </cellXfs>
  <cellStyles count="2">
    <cellStyle name="Normal" xfId="0" builtinId="0"/>
    <cellStyle name="Percent" xfId="1" builtinId="5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1A8DF7-EA8E-4AD4-AED4-847D83ACB0A6}" autoFormatId="16" applyNumberFormats="0" applyBorderFormats="0" applyFontFormats="0" applyPatternFormats="0" applyAlignmentFormats="0" applyWidthHeightFormats="0">
  <queryTableRefresh nextId="6">
    <queryTableFields count="5">
      <queryTableField id="1" name="device" tableColumnId="1"/>
      <queryTableField id="2" name="fullVisitorId" tableColumnId="2"/>
      <queryTableField id="3" name="visitId" tableColumnId="3"/>
      <queryTableField id="4" name="transactions" tableColumnId="4"/>
      <queryTableField id="5" name="revenue_us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9B2757-A9F9-4B3B-84E6-75AFB834E4FB}" name="converter_revenue" displayName="converter_revenue" ref="A1:E689" tableType="queryTable" totalsRowShown="0">
  <autoFilter ref="A1:E689" xr:uid="{2A9B2757-A9F9-4B3B-84E6-75AFB834E4FB}">
    <filterColumn colId="0">
      <filters>
        <filter val="mobile"/>
      </filters>
    </filterColumn>
  </autoFilter>
  <tableColumns count="5">
    <tableColumn id="1" xr3:uid="{42FB1C13-B96B-4369-ACD9-70317598126B}" uniqueName="1" name="device" queryTableFieldId="1" dataDxfId="0"/>
    <tableColumn id="2" xr3:uid="{530811CA-3DD7-4647-8F85-D741A20F4FDC}" uniqueName="2" name="fullVisitorId" queryTableFieldId="2"/>
    <tableColumn id="3" xr3:uid="{642FB255-6A76-40EE-84E2-80438EE9AF51}" uniqueName="3" name="visitId" queryTableFieldId="3"/>
    <tableColumn id="4" xr3:uid="{0A8FE6B5-84C5-4AB0-B047-9A006B2D1CD3}" uniqueName="4" name="transactions" queryTableFieldId="4"/>
    <tableColumn id="5" xr3:uid="{513577F7-BC80-476C-875D-542A3B1E033F}" uniqueName="5" name="revenue_usd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BB78-0CD8-408C-B4A8-D76163AA0F8F}">
  <dimension ref="A1:D26"/>
  <sheetViews>
    <sheetView topLeftCell="A10" workbookViewId="0">
      <selection activeCell="E27" sqref="E27"/>
    </sheetView>
  </sheetViews>
  <sheetFormatPr defaultRowHeight="14.5" x14ac:dyDescent="0.35"/>
  <cols>
    <col min="1" max="1" width="21.54296875" bestFit="1" customWidth="1"/>
    <col min="2" max="2" width="13.26953125" bestFit="1" customWidth="1"/>
    <col min="3" max="3" width="12.453125" bestFit="1" customWidth="1"/>
    <col min="4" max="4" width="8.54296875" bestFit="1" customWidth="1"/>
  </cols>
  <sheetData>
    <row r="1" spans="1:4" x14ac:dyDescent="0.35">
      <c r="B1" t="s">
        <v>3</v>
      </c>
      <c r="C1" t="s">
        <v>4</v>
      </c>
      <c r="D1" t="s">
        <v>5</v>
      </c>
    </row>
    <row r="2" spans="1:4" x14ac:dyDescent="0.35">
      <c r="A2" t="s">
        <v>0</v>
      </c>
      <c r="B2">
        <v>614</v>
      </c>
      <c r="C2">
        <v>43001</v>
      </c>
      <c r="D2">
        <f>B2+C2</f>
        <v>43615</v>
      </c>
    </row>
    <row r="3" spans="1:4" x14ac:dyDescent="0.35">
      <c r="A3" t="s">
        <v>1</v>
      </c>
      <c r="B3">
        <v>74</v>
      </c>
      <c r="C3">
        <v>18263</v>
      </c>
      <c r="D3">
        <f>B3+C3</f>
        <v>18337</v>
      </c>
    </row>
    <row r="4" spans="1:4" x14ac:dyDescent="0.35">
      <c r="A4" t="s">
        <v>2</v>
      </c>
      <c r="B4">
        <f>B2+B3</f>
        <v>688</v>
      </c>
      <c r="C4">
        <f>C2+C3</f>
        <v>61264</v>
      </c>
      <c r="D4">
        <f>D2+D3</f>
        <v>61952</v>
      </c>
    </row>
    <row r="6" spans="1:4" x14ac:dyDescent="0.35">
      <c r="A6" t="s">
        <v>6</v>
      </c>
      <c r="B6" t="s">
        <v>3</v>
      </c>
      <c r="C6" t="s">
        <v>4</v>
      </c>
    </row>
    <row r="7" spans="1:4" x14ac:dyDescent="0.35">
      <c r="A7" t="s">
        <v>0</v>
      </c>
      <c r="B7" s="3">
        <f>(D2*B4)/D4</f>
        <v>484.36079545454544</v>
      </c>
      <c r="C7" s="3">
        <f>(D2*C4)/D4</f>
        <v>43130.639204545456</v>
      </c>
    </row>
    <row r="8" spans="1:4" x14ac:dyDescent="0.35">
      <c r="A8" t="s">
        <v>1</v>
      </c>
      <c r="B8" s="3">
        <f>(D3*B4)/D4</f>
        <v>203.63920454545453</v>
      </c>
      <c r="C8" s="3">
        <f>(D3*C4)/D4</f>
        <v>18133.360795454544</v>
      </c>
    </row>
    <row r="11" spans="1:4" x14ac:dyDescent="0.35">
      <c r="A11" t="s">
        <v>7</v>
      </c>
      <c r="B11">
        <f>_xlfn.CHISQ.TEST(B2:C3, B7:C8)</f>
        <v>1.3177642522224608E-27</v>
      </c>
    </row>
    <row r="12" spans="1:4" x14ac:dyDescent="0.35">
      <c r="A12" t="s">
        <v>8</v>
      </c>
      <c r="B12" t="str">
        <f>IF(B11&lt;0.05, "YES - reject null", "NO - Fail to reject null")</f>
        <v>YES - reject null</v>
      </c>
    </row>
    <row r="14" spans="1:4" x14ac:dyDescent="0.35">
      <c r="A14" t="s">
        <v>9</v>
      </c>
    </row>
    <row r="15" spans="1:4" x14ac:dyDescent="0.35">
      <c r="A15" t="s">
        <v>10</v>
      </c>
      <c r="B15" s="1">
        <f>B2/D2</f>
        <v>1.4077725553135389E-2</v>
      </c>
    </row>
    <row r="16" spans="1:4" x14ac:dyDescent="0.35">
      <c r="A16" t="s">
        <v>11</v>
      </c>
      <c r="B16" s="1">
        <f>B3/D3</f>
        <v>4.0355565250586242E-3</v>
      </c>
    </row>
    <row r="17" spans="1:4" x14ac:dyDescent="0.35">
      <c r="A17" t="s">
        <v>12</v>
      </c>
      <c r="B17" s="1">
        <f>B15-B16</f>
        <v>1.0042169028076765E-2</v>
      </c>
    </row>
    <row r="18" spans="1:4" x14ac:dyDescent="0.35">
      <c r="A18" t="s">
        <v>13</v>
      </c>
      <c r="B18" s="4">
        <f>B15/B16</f>
        <v>3.4884223441600493</v>
      </c>
    </row>
    <row r="20" spans="1:4" x14ac:dyDescent="0.35">
      <c r="A20" t="s">
        <v>14</v>
      </c>
    </row>
    <row r="21" spans="1:4" x14ac:dyDescent="0.35">
      <c r="B21" t="s">
        <v>15</v>
      </c>
      <c r="C21" t="s">
        <v>16</v>
      </c>
      <c r="D21" t="s">
        <v>17</v>
      </c>
    </row>
    <row r="22" spans="1:4" x14ac:dyDescent="0.35">
      <c r="A22" t="s">
        <v>0</v>
      </c>
      <c r="B22" s="2">
        <f>B15</f>
        <v>1.4077725553135389E-2</v>
      </c>
      <c r="C22" s="1">
        <f>B22-1.96*SQRT(B22*(1-B22)/D2)</f>
        <v>1.2972055061065548E-2</v>
      </c>
      <c r="D22" s="1">
        <f>B22+1.96*SQRT(B22*(1-B22)/D2)</f>
        <v>1.518339604520523E-2</v>
      </c>
    </row>
    <row r="23" spans="1:4" x14ac:dyDescent="0.35">
      <c r="A23" t="s">
        <v>1</v>
      </c>
      <c r="B23" s="2">
        <f>B16</f>
        <v>4.0355565250586242E-3</v>
      </c>
      <c r="C23" s="2">
        <f>B23-1.96*SQRT(B23*(1-B23)/D3)</f>
        <v>3.1179308357842427E-3</v>
      </c>
      <c r="D23" s="1">
        <f>B23+1.96*SQRT(B23*(1-B23)/D3)</f>
        <v>4.9531822143330058E-3</v>
      </c>
    </row>
    <row r="26" spans="1:4" x14ac:dyDescent="0.35">
      <c r="A2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26672-B50B-4520-953A-8B617C6602C7}">
  <dimension ref="A1:F615"/>
  <sheetViews>
    <sheetView tabSelected="1" workbookViewId="0">
      <selection activeCell="E10" sqref="E10"/>
    </sheetView>
  </sheetViews>
  <sheetFormatPr defaultRowHeight="14.5" x14ac:dyDescent="0.35"/>
  <cols>
    <col min="1" max="1" width="14.90625" bestFit="1" customWidth="1"/>
    <col min="2" max="2" width="13.54296875" bestFit="1" customWidth="1"/>
    <col min="4" max="4" width="23.6328125" bestFit="1" customWidth="1"/>
    <col min="5" max="5" width="13.26953125" bestFit="1" customWidth="1"/>
    <col min="6" max="6" width="8.90625" bestFit="1" customWidth="1"/>
  </cols>
  <sheetData>
    <row r="1" spans="1:6" x14ac:dyDescent="0.35">
      <c r="A1" t="s">
        <v>26</v>
      </c>
      <c r="B1" t="s">
        <v>27</v>
      </c>
      <c r="D1" t="s">
        <v>28</v>
      </c>
      <c r="E1" t="s">
        <v>0</v>
      </c>
      <c r="F1" t="s">
        <v>1</v>
      </c>
    </row>
    <row r="2" spans="1:6" x14ac:dyDescent="0.35">
      <c r="A2" s="6">
        <v>2485.9699999999998</v>
      </c>
      <c r="B2" s="6">
        <v>1137.3499999999999</v>
      </c>
      <c r="D2" t="s">
        <v>29</v>
      </c>
      <c r="E2">
        <f>COUNT(A:A)</f>
        <v>614</v>
      </c>
      <c r="F2">
        <f>COUNT(B:B)</f>
        <v>74</v>
      </c>
    </row>
    <row r="3" spans="1:6" x14ac:dyDescent="0.35">
      <c r="A3" s="6">
        <v>1942</v>
      </c>
      <c r="B3" s="6">
        <v>1101.9000000000001</v>
      </c>
      <c r="D3" t="s">
        <v>30</v>
      </c>
      <c r="E3" s="7">
        <f>AVERAGE(A:A)</f>
        <v>148.54449511400685</v>
      </c>
      <c r="F3" s="7">
        <f>AVERAGE(B:B)</f>
        <v>83.84121621621604</v>
      </c>
    </row>
    <row r="4" spans="1:6" x14ac:dyDescent="0.35">
      <c r="A4" s="6">
        <v>1633.42</v>
      </c>
      <c r="B4" s="6">
        <v>1034.55</v>
      </c>
      <c r="D4" t="s">
        <v>31</v>
      </c>
      <c r="E4" s="7">
        <f>MEDIAN(A:A)</f>
        <v>50.995000000000005</v>
      </c>
      <c r="F4" s="7">
        <f>MEDIAN(B:B)</f>
        <v>22.434999999999999</v>
      </c>
    </row>
    <row r="5" spans="1:6" x14ac:dyDescent="0.35">
      <c r="A5" s="6">
        <v>1534.41</v>
      </c>
      <c r="B5" s="6">
        <v>213.94</v>
      </c>
      <c r="D5" t="s">
        <v>32</v>
      </c>
      <c r="E5" s="7">
        <f>_xlfn.STDEV.S(A:A)</f>
        <v>273.15656769820043</v>
      </c>
      <c r="F5" s="7">
        <f>_xlfn.STDEV.S(B:B)</f>
        <v>213.65397637719795</v>
      </c>
    </row>
    <row r="6" spans="1:6" x14ac:dyDescent="0.35">
      <c r="A6" s="6">
        <v>1519.81</v>
      </c>
      <c r="B6" s="6">
        <v>194.93</v>
      </c>
      <c r="D6" t="s">
        <v>33</v>
      </c>
      <c r="E6" s="7">
        <f>MIN(A:A)</f>
        <v>1.99</v>
      </c>
      <c r="F6" s="7">
        <f>MIN(B:B)</f>
        <v>1.99</v>
      </c>
    </row>
    <row r="7" spans="1:6" x14ac:dyDescent="0.35">
      <c r="A7" s="6">
        <v>1498.5</v>
      </c>
      <c r="B7" s="6">
        <v>167.97</v>
      </c>
      <c r="D7" t="s">
        <v>34</v>
      </c>
      <c r="E7" s="7">
        <f>MAX(A:A)</f>
        <v>2485.9699999999998</v>
      </c>
      <c r="F7" s="7">
        <f>MAX(B:B)</f>
        <v>1137.3499999999999</v>
      </c>
    </row>
    <row r="8" spans="1:6" x14ac:dyDescent="0.35">
      <c r="A8" s="6">
        <v>1421.55</v>
      </c>
      <c r="B8" s="6">
        <v>154.97</v>
      </c>
    </row>
    <row r="9" spans="1:6" x14ac:dyDescent="0.35">
      <c r="A9" s="6">
        <v>1350.7</v>
      </c>
      <c r="B9" s="6">
        <v>153.93</v>
      </c>
    </row>
    <row r="10" spans="1:6" x14ac:dyDescent="0.35">
      <c r="A10" s="6">
        <v>1308.5899999999999</v>
      </c>
      <c r="B10" s="6">
        <v>120.94</v>
      </c>
      <c r="D10" t="s">
        <v>35</v>
      </c>
    </row>
    <row r="11" spans="1:6" x14ac:dyDescent="0.35">
      <c r="A11" s="6">
        <v>1272.45</v>
      </c>
      <c r="B11" s="6">
        <v>110.97</v>
      </c>
      <c r="D11" t="s">
        <v>7</v>
      </c>
      <c r="E11" s="9">
        <f>_xlfn.T.TEST(A:A, B:B, 2, 3)</f>
        <v>1.9076603467647019E-2</v>
      </c>
    </row>
    <row r="12" spans="1:6" x14ac:dyDescent="0.35">
      <c r="A12" s="6">
        <v>1245.5999999999999</v>
      </c>
      <c r="B12" s="6">
        <v>102.93</v>
      </c>
      <c r="D12" t="s">
        <v>8</v>
      </c>
      <c r="E12" t="str">
        <f>IF(E11&lt;0.05, "YES - reject null", "NO - fail to reject null")</f>
        <v>YES - reject null</v>
      </c>
    </row>
    <row r="13" spans="1:6" x14ac:dyDescent="0.35">
      <c r="A13" s="6">
        <v>1229.56</v>
      </c>
      <c r="B13" s="6">
        <v>90.98</v>
      </c>
    </row>
    <row r="14" spans="1:6" x14ac:dyDescent="0.35">
      <c r="A14" s="6">
        <v>1190.8800000000001</v>
      </c>
      <c r="B14" s="6">
        <v>84.92</v>
      </c>
      <c r="D14" t="s">
        <v>9</v>
      </c>
    </row>
    <row r="15" spans="1:6" x14ac:dyDescent="0.35">
      <c r="A15" s="6">
        <v>1157.8</v>
      </c>
      <c r="B15" s="6">
        <v>79.98</v>
      </c>
      <c r="D15" t="s">
        <v>36</v>
      </c>
      <c r="E15" s="7">
        <f>E3-F3</f>
        <v>64.70327889779081</v>
      </c>
    </row>
    <row r="16" spans="1:6" x14ac:dyDescent="0.35">
      <c r="A16" s="6">
        <v>1077</v>
      </c>
      <c r="B16" s="6">
        <v>74.989999999999995</v>
      </c>
      <c r="D16" t="s">
        <v>37</v>
      </c>
      <c r="E16" s="8">
        <f>(E3-F3)/F3</f>
        <v>0.77173592915123179</v>
      </c>
    </row>
    <row r="17" spans="1:4" x14ac:dyDescent="0.35">
      <c r="A17" s="6">
        <v>1019.5</v>
      </c>
      <c r="B17" s="6">
        <v>72.98</v>
      </c>
    </row>
    <row r="18" spans="1:4" x14ac:dyDescent="0.35">
      <c r="A18" s="6">
        <v>994.65</v>
      </c>
      <c r="B18" s="6">
        <v>69.989999999999995</v>
      </c>
      <c r="D18" t="s">
        <v>38</v>
      </c>
    </row>
    <row r="19" spans="1:4" x14ac:dyDescent="0.35">
      <c r="A19" s="6">
        <v>956.55</v>
      </c>
      <c r="B19" s="6">
        <v>64.91</v>
      </c>
      <c r="D19" t="s">
        <v>39</v>
      </c>
    </row>
    <row r="20" spans="1:4" x14ac:dyDescent="0.35">
      <c r="A20" s="6">
        <v>920.16</v>
      </c>
      <c r="B20" s="6">
        <v>55.99</v>
      </c>
    </row>
    <row r="21" spans="1:4" x14ac:dyDescent="0.35">
      <c r="A21" s="6">
        <v>911.2</v>
      </c>
      <c r="B21" s="6">
        <v>55.99</v>
      </c>
    </row>
    <row r="22" spans="1:4" x14ac:dyDescent="0.35">
      <c r="A22" s="6">
        <v>904.27</v>
      </c>
      <c r="B22" s="6">
        <v>55.99</v>
      </c>
    </row>
    <row r="23" spans="1:4" x14ac:dyDescent="0.35">
      <c r="A23" s="6">
        <v>893.62</v>
      </c>
      <c r="B23" s="6">
        <v>52.97</v>
      </c>
    </row>
    <row r="24" spans="1:4" x14ac:dyDescent="0.35">
      <c r="A24" s="6">
        <v>888.57</v>
      </c>
      <c r="B24" s="6">
        <v>46.95</v>
      </c>
    </row>
    <row r="25" spans="1:4" x14ac:dyDescent="0.35">
      <c r="A25" s="6">
        <v>878.9</v>
      </c>
      <c r="B25" s="6">
        <v>37.979999999999997</v>
      </c>
    </row>
    <row r="26" spans="1:4" x14ac:dyDescent="0.35">
      <c r="A26" s="6">
        <v>865.7</v>
      </c>
      <c r="B26" s="6">
        <v>37.479999999999997</v>
      </c>
    </row>
    <row r="27" spans="1:4" x14ac:dyDescent="0.35">
      <c r="A27" s="6">
        <v>803.44</v>
      </c>
      <c r="B27" s="6">
        <v>36.979999999999997</v>
      </c>
    </row>
    <row r="28" spans="1:4" x14ac:dyDescent="0.35">
      <c r="A28" s="6">
        <v>796.7</v>
      </c>
      <c r="B28" s="6">
        <v>34.97</v>
      </c>
    </row>
    <row r="29" spans="1:4" x14ac:dyDescent="0.35">
      <c r="A29" s="6">
        <v>796.35</v>
      </c>
      <c r="B29" s="6">
        <v>34.96</v>
      </c>
    </row>
    <row r="30" spans="1:4" x14ac:dyDescent="0.35">
      <c r="A30" s="6">
        <v>701.8</v>
      </c>
      <c r="B30" s="6">
        <v>33.979999999999997</v>
      </c>
    </row>
    <row r="31" spans="1:4" x14ac:dyDescent="0.35">
      <c r="A31" s="6">
        <v>678.05</v>
      </c>
      <c r="B31" s="6">
        <v>30.46</v>
      </c>
    </row>
    <row r="32" spans="1:4" x14ac:dyDescent="0.35">
      <c r="A32" s="6">
        <v>673.87</v>
      </c>
      <c r="B32" s="6">
        <v>28.98</v>
      </c>
    </row>
    <row r="33" spans="1:2" x14ac:dyDescent="0.35">
      <c r="A33" s="6">
        <v>663.8</v>
      </c>
      <c r="B33" s="6">
        <v>28.98</v>
      </c>
    </row>
    <row r="34" spans="1:2" x14ac:dyDescent="0.35">
      <c r="A34" s="6">
        <v>612.29999999999995</v>
      </c>
      <c r="B34" s="6">
        <v>27.98</v>
      </c>
    </row>
    <row r="35" spans="1:2" x14ac:dyDescent="0.35">
      <c r="A35" s="6">
        <v>599.95000000000005</v>
      </c>
      <c r="B35" s="6">
        <v>26.47</v>
      </c>
    </row>
    <row r="36" spans="1:2" x14ac:dyDescent="0.35">
      <c r="A36" s="6">
        <v>593.91</v>
      </c>
      <c r="B36" s="6">
        <v>24.99</v>
      </c>
    </row>
    <row r="37" spans="1:2" x14ac:dyDescent="0.35">
      <c r="A37" s="6">
        <v>587</v>
      </c>
      <c r="B37" s="6">
        <v>22.97</v>
      </c>
    </row>
    <row r="38" spans="1:2" x14ac:dyDescent="0.35">
      <c r="A38" s="6">
        <v>570.26</v>
      </c>
      <c r="B38" s="6">
        <v>22.88</v>
      </c>
    </row>
    <row r="39" spans="1:2" x14ac:dyDescent="0.35">
      <c r="A39" s="6">
        <v>567.03</v>
      </c>
      <c r="B39" s="6">
        <v>21.99</v>
      </c>
    </row>
    <row r="40" spans="1:2" x14ac:dyDescent="0.35">
      <c r="A40" s="6">
        <v>559</v>
      </c>
      <c r="B40" s="6">
        <v>21.98</v>
      </c>
    </row>
    <row r="41" spans="1:2" x14ac:dyDescent="0.35">
      <c r="A41" s="6">
        <v>558.85</v>
      </c>
      <c r="B41" s="6">
        <v>21.45</v>
      </c>
    </row>
    <row r="42" spans="1:2" x14ac:dyDescent="0.35">
      <c r="A42" s="6">
        <v>558.25</v>
      </c>
      <c r="B42" s="6">
        <v>20.49</v>
      </c>
    </row>
    <row r="43" spans="1:2" x14ac:dyDescent="0.35">
      <c r="A43" s="6">
        <v>548.39</v>
      </c>
      <c r="B43" s="6">
        <v>19.989999999999998</v>
      </c>
    </row>
    <row r="44" spans="1:2" x14ac:dyDescent="0.35">
      <c r="A44" s="6">
        <v>539.79999999999995</v>
      </c>
      <c r="B44" s="6">
        <v>18.989999999999998</v>
      </c>
    </row>
    <row r="45" spans="1:2" x14ac:dyDescent="0.35">
      <c r="A45" s="6">
        <v>524.34</v>
      </c>
      <c r="B45" s="6">
        <v>18.989999999999998</v>
      </c>
    </row>
    <row r="46" spans="1:2" x14ac:dyDescent="0.35">
      <c r="A46" s="6">
        <v>501.9</v>
      </c>
      <c r="B46" s="6">
        <v>18.98</v>
      </c>
    </row>
    <row r="47" spans="1:2" x14ac:dyDescent="0.35">
      <c r="A47" s="6">
        <v>501.84</v>
      </c>
      <c r="B47" s="6">
        <v>17.940000000000001</v>
      </c>
    </row>
    <row r="48" spans="1:2" x14ac:dyDescent="0.35">
      <c r="A48" s="6">
        <v>499.3</v>
      </c>
      <c r="B48" s="6">
        <v>16.989999999999998</v>
      </c>
    </row>
    <row r="49" spans="1:2" x14ac:dyDescent="0.35">
      <c r="A49" s="6">
        <v>469.87</v>
      </c>
      <c r="B49" s="6">
        <v>16.989999999999998</v>
      </c>
    </row>
    <row r="50" spans="1:2" x14ac:dyDescent="0.35">
      <c r="A50" s="6">
        <v>463.6</v>
      </c>
      <c r="B50" s="6">
        <v>16.989999999999998</v>
      </c>
    </row>
    <row r="51" spans="1:2" x14ac:dyDescent="0.35">
      <c r="A51" s="6">
        <v>431.1</v>
      </c>
      <c r="B51" s="6">
        <v>16.97</v>
      </c>
    </row>
    <row r="52" spans="1:2" x14ac:dyDescent="0.35">
      <c r="A52" s="6">
        <v>425.07</v>
      </c>
      <c r="B52" s="6">
        <v>16.48</v>
      </c>
    </row>
    <row r="53" spans="1:2" x14ac:dyDescent="0.35">
      <c r="A53" s="6">
        <v>419.85</v>
      </c>
      <c r="B53" s="6">
        <v>14.98</v>
      </c>
    </row>
    <row r="54" spans="1:2" x14ac:dyDescent="0.35">
      <c r="A54" s="6">
        <v>416.8</v>
      </c>
      <c r="B54" s="6">
        <v>13.98</v>
      </c>
    </row>
    <row r="55" spans="1:2" x14ac:dyDescent="0.35">
      <c r="A55" s="6">
        <v>407.3</v>
      </c>
      <c r="B55" s="6">
        <v>12.99</v>
      </c>
    </row>
    <row r="56" spans="1:2" x14ac:dyDescent="0.35">
      <c r="A56" s="6">
        <v>406.49</v>
      </c>
      <c r="B56" s="6">
        <v>12.99</v>
      </c>
    </row>
    <row r="57" spans="1:2" x14ac:dyDescent="0.35">
      <c r="A57" s="6">
        <v>402.09</v>
      </c>
      <c r="B57" s="6">
        <v>12.98</v>
      </c>
    </row>
    <row r="58" spans="1:2" x14ac:dyDescent="0.35">
      <c r="A58" s="6">
        <v>401.07</v>
      </c>
      <c r="B58" s="6">
        <v>10.99</v>
      </c>
    </row>
    <row r="59" spans="1:2" x14ac:dyDescent="0.35">
      <c r="A59" s="6">
        <v>399.6</v>
      </c>
      <c r="B59" s="6">
        <v>10.99</v>
      </c>
    </row>
    <row r="60" spans="1:2" x14ac:dyDescent="0.35">
      <c r="A60" s="6">
        <v>390.95</v>
      </c>
      <c r="B60" s="6">
        <v>10.99</v>
      </c>
    </row>
    <row r="61" spans="1:2" x14ac:dyDescent="0.35">
      <c r="A61" s="6">
        <v>387.77</v>
      </c>
      <c r="B61" s="6">
        <v>10.99</v>
      </c>
    </row>
    <row r="62" spans="1:2" x14ac:dyDescent="0.35">
      <c r="A62" s="6">
        <v>383.7</v>
      </c>
      <c r="B62" s="6">
        <v>10.99</v>
      </c>
    </row>
    <row r="63" spans="1:2" x14ac:dyDescent="0.35">
      <c r="A63" s="6">
        <v>374.74</v>
      </c>
      <c r="B63" s="6">
        <v>10.99</v>
      </c>
    </row>
    <row r="64" spans="1:2" x14ac:dyDescent="0.35">
      <c r="A64" s="6">
        <v>370.25</v>
      </c>
      <c r="B64" s="6">
        <v>10.5</v>
      </c>
    </row>
    <row r="65" spans="1:2" x14ac:dyDescent="0.35">
      <c r="A65" s="6">
        <v>369.8</v>
      </c>
      <c r="B65" s="6">
        <v>8.99</v>
      </c>
    </row>
    <row r="66" spans="1:2" x14ac:dyDescent="0.35">
      <c r="A66" s="6">
        <v>358.72</v>
      </c>
      <c r="B66" s="6">
        <v>8.98</v>
      </c>
    </row>
    <row r="67" spans="1:2" x14ac:dyDescent="0.35">
      <c r="A67" s="6">
        <v>350</v>
      </c>
      <c r="B67" s="6">
        <v>6.99</v>
      </c>
    </row>
    <row r="68" spans="1:2" x14ac:dyDescent="0.35">
      <c r="A68" s="6">
        <v>347.43</v>
      </c>
      <c r="B68" s="6">
        <v>6.99</v>
      </c>
    </row>
    <row r="69" spans="1:2" x14ac:dyDescent="0.35">
      <c r="A69" s="6">
        <v>346.32</v>
      </c>
      <c r="B69" s="6">
        <v>6.99</v>
      </c>
    </row>
    <row r="70" spans="1:2" x14ac:dyDescent="0.35">
      <c r="A70" s="6">
        <v>338.13</v>
      </c>
      <c r="B70" s="6">
        <v>6.97</v>
      </c>
    </row>
    <row r="71" spans="1:2" x14ac:dyDescent="0.35">
      <c r="A71" s="6">
        <v>337</v>
      </c>
      <c r="B71" s="6">
        <v>5.97</v>
      </c>
    </row>
    <row r="72" spans="1:2" x14ac:dyDescent="0.35">
      <c r="A72" s="6">
        <v>335.4</v>
      </c>
      <c r="B72" s="6">
        <v>3.98</v>
      </c>
    </row>
    <row r="73" spans="1:2" x14ac:dyDescent="0.35">
      <c r="A73" s="6">
        <v>335.26</v>
      </c>
      <c r="B73" s="6">
        <v>3.24</v>
      </c>
    </row>
    <row r="74" spans="1:2" x14ac:dyDescent="0.35">
      <c r="A74" s="6">
        <v>333.04</v>
      </c>
      <c r="B74" s="6">
        <v>2.5</v>
      </c>
    </row>
    <row r="75" spans="1:2" x14ac:dyDescent="0.35">
      <c r="A75" s="6">
        <v>324.92</v>
      </c>
      <c r="B75" s="6">
        <v>1.99</v>
      </c>
    </row>
    <row r="76" spans="1:2" x14ac:dyDescent="0.35">
      <c r="A76" s="6">
        <v>306.83999999999997</v>
      </c>
    </row>
    <row r="77" spans="1:2" x14ac:dyDescent="0.35">
      <c r="A77" s="6">
        <v>299.55</v>
      </c>
    </row>
    <row r="78" spans="1:2" x14ac:dyDescent="0.35">
      <c r="A78" s="6">
        <v>299.5</v>
      </c>
    </row>
    <row r="79" spans="1:2" x14ac:dyDescent="0.35">
      <c r="A79" s="6">
        <v>289.92</v>
      </c>
    </row>
    <row r="80" spans="1:2" x14ac:dyDescent="0.35">
      <c r="A80" s="6">
        <v>289.37</v>
      </c>
    </row>
    <row r="81" spans="1:1" x14ac:dyDescent="0.35">
      <c r="A81" s="6">
        <v>280.5</v>
      </c>
    </row>
    <row r="82" spans="1:1" x14ac:dyDescent="0.35">
      <c r="A82" s="6">
        <v>279.37</v>
      </c>
    </row>
    <row r="83" spans="1:1" x14ac:dyDescent="0.35">
      <c r="A83" s="6">
        <v>271.7</v>
      </c>
    </row>
    <row r="84" spans="1:1" x14ac:dyDescent="0.35">
      <c r="A84" s="6">
        <v>268.74</v>
      </c>
    </row>
    <row r="85" spans="1:1" x14ac:dyDescent="0.35">
      <c r="A85" s="6">
        <v>268.42</v>
      </c>
    </row>
    <row r="86" spans="1:1" x14ac:dyDescent="0.35">
      <c r="A86" s="6">
        <v>264.79000000000002</v>
      </c>
    </row>
    <row r="87" spans="1:1" x14ac:dyDescent="0.35">
      <c r="A87" s="6">
        <v>259.88</v>
      </c>
    </row>
    <row r="88" spans="1:1" x14ac:dyDescent="0.35">
      <c r="A88" s="6">
        <v>259.37</v>
      </c>
    </row>
    <row r="89" spans="1:1" x14ac:dyDescent="0.35">
      <c r="A89" s="6">
        <v>254.85</v>
      </c>
    </row>
    <row r="90" spans="1:1" x14ac:dyDescent="0.35">
      <c r="A90" s="6">
        <v>251.65</v>
      </c>
    </row>
    <row r="91" spans="1:1" x14ac:dyDescent="0.35">
      <c r="A91" s="6">
        <v>251.24</v>
      </c>
    </row>
    <row r="92" spans="1:1" x14ac:dyDescent="0.35">
      <c r="A92" s="6">
        <v>244.3</v>
      </c>
    </row>
    <row r="93" spans="1:1" x14ac:dyDescent="0.35">
      <c r="A93" s="6">
        <v>243.16</v>
      </c>
    </row>
    <row r="94" spans="1:1" x14ac:dyDescent="0.35">
      <c r="A94" s="6">
        <v>239.6</v>
      </c>
    </row>
    <row r="95" spans="1:1" x14ac:dyDescent="0.35">
      <c r="A95" s="6">
        <v>236.79</v>
      </c>
    </row>
    <row r="96" spans="1:1" x14ac:dyDescent="0.35">
      <c r="A96" s="6">
        <v>231.03</v>
      </c>
    </row>
    <row r="97" spans="1:1" x14ac:dyDescent="0.35">
      <c r="A97" s="6">
        <v>230.93</v>
      </c>
    </row>
    <row r="98" spans="1:1" x14ac:dyDescent="0.35">
      <c r="A98" s="6">
        <v>228.45</v>
      </c>
    </row>
    <row r="99" spans="1:1" x14ac:dyDescent="0.35">
      <c r="A99" s="6">
        <v>224.85</v>
      </c>
    </row>
    <row r="100" spans="1:1" x14ac:dyDescent="0.35">
      <c r="A100" s="6">
        <v>223.6</v>
      </c>
    </row>
    <row r="101" spans="1:1" x14ac:dyDescent="0.35">
      <c r="A101" s="6">
        <v>215.97</v>
      </c>
    </row>
    <row r="102" spans="1:1" x14ac:dyDescent="0.35">
      <c r="A102" s="6">
        <v>211.8</v>
      </c>
    </row>
    <row r="103" spans="1:1" x14ac:dyDescent="0.35">
      <c r="A103" s="6">
        <v>209.85</v>
      </c>
    </row>
    <row r="104" spans="1:1" x14ac:dyDescent="0.35">
      <c r="A104" s="6">
        <v>207.14</v>
      </c>
    </row>
    <row r="105" spans="1:1" x14ac:dyDescent="0.35">
      <c r="A105" s="6">
        <v>203.9</v>
      </c>
    </row>
    <row r="106" spans="1:1" x14ac:dyDescent="0.35">
      <c r="A106" s="6">
        <v>201.15</v>
      </c>
    </row>
    <row r="107" spans="1:1" x14ac:dyDescent="0.35">
      <c r="A107" s="6">
        <v>200.95</v>
      </c>
    </row>
    <row r="108" spans="1:1" x14ac:dyDescent="0.35">
      <c r="A108" s="6">
        <v>200.66</v>
      </c>
    </row>
    <row r="109" spans="1:1" x14ac:dyDescent="0.35">
      <c r="A109" s="6">
        <v>199.9</v>
      </c>
    </row>
    <row r="110" spans="1:1" x14ac:dyDescent="0.35">
      <c r="A110" s="6">
        <v>199.9</v>
      </c>
    </row>
    <row r="111" spans="1:1" x14ac:dyDescent="0.35">
      <c r="A111" s="6">
        <v>199.8</v>
      </c>
    </row>
    <row r="112" spans="1:1" x14ac:dyDescent="0.35">
      <c r="A112" s="6">
        <v>194.91</v>
      </c>
    </row>
    <row r="113" spans="1:1" x14ac:dyDescent="0.35">
      <c r="A113" s="6">
        <v>191.7</v>
      </c>
    </row>
    <row r="114" spans="1:1" x14ac:dyDescent="0.35">
      <c r="A114" s="6">
        <v>191.64</v>
      </c>
    </row>
    <row r="115" spans="1:1" x14ac:dyDescent="0.35">
      <c r="A115" s="6">
        <v>191.17</v>
      </c>
    </row>
    <row r="116" spans="1:1" x14ac:dyDescent="0.35">
      <c r="A116" s="6">
        <v>191.14</v>
      </c>
    </row>
    <row r="117" spans="1:1" x14ac:dyDescent="0.35">
      <c r="A117" s="6">
        <v>183.88</v>
      </c>
    </row>
    <row r="118" spans="1:1" x14ac:dyDescent="0.35">
      <c r="A118" s="6">
        <v>179.16</v>
      </c>
    </row>
    <row r="119" spans="1:1" x14ac:dyDescent="0.35">
      <c r="A119" s="6">
        <v>177.99</v>
      </c>
    </row>
    <row r="120" spans="1:1" x14ac:dyDescent="0.35">
      <c r="A120" s="6">
        <v>177.55</v>
      </c>
    </row>
    <row r="121" spans="1:1" x14ac:dyDescent="0.35">
      <c r="A121" s="6">
        <v>175.8</v>
      </c>
    </row>
    <row r="122" spans="1:1" x14ac:dyDescent="0.35">
      <c r="A122" s="6">
        <v>175.6</v>
      </c>
    </row>
    <row r="123" spans="1:1" x14ac:dyDescent="0.35">
      <c r="A123" s="6">
        <v>167.7</v>
      </c>
    </row>
    <row r="124" spans="1:1" x14ac:dyDescent="0.35">
      <c r="A124" s="6">
        <v>167.15</v>
      </c>
    </row>
    <row r="125" spans="1:1" x14ac:dyDescent="0.35">
      <c r="A125" s="6">
        <v>166.61</v>
      </c>
    </row>
    <row r="126" spans="1:1" x14ac:dyDescent="0.35">
      <c r="A126" s="6">
        <v>166.31</v>
      </c>
    </row>
    <row r="127" spans="1:1" x14ac:dyDescent="0.35">
      <c r="A127" s="6">
        <v>166.23</v>
      </c>
    </row>
    <row r="128" spans="1:1" x14ac:dyDescent="0.35">
      <c r="A128" s="6">
        <v>164.84</v>
      </c>
    </row>
    <row r="129" spans="1:1" x14ac:dyDescent="0.35">
      <c r="A129" s="6">
        <v>159.97999999999999</v>
      </c>
    </row>
    <row r="130" spans="1:1" x14ac:dyDescent="0.35">
      <c r="A130" s="6">
        <v>159.91999999999999</v>
      </c>
    </row>
    <row r="131" spans="1:1" x14ac:dyDescent="0.35">
      <c r="A131" s="6">
        <v>159.91999999999999</v>
      </c>
    </row>
    <row r="132" spans="1:1" x14ac:dyDescent="0.35">
      <c r="A132" s="6">
        <v>159.75</v>
      </c>
    </row>
    <row r="133" spans="1:1" x14ac:dyDescent="0.35">
      <c r="A133" s="6">
        <v>157.44</v>
      </c>
    </row>
    <row r="134" spans="1:1" x14ac:dyDescent="0.35">
      <c r="A134" s="6">
        <v>156.68</v>
      </c>
    </row>
    <row r="135" spans="1:1" x14ac:dyDescent="0.35">
      <c r="A135" s="6">
        <v>155.97</v>
      </c>
    </row>
    <row r="136" spans="1:1" x14ac:dyDescent="0.35">
      <c r="A136" s="6">
        <v>155.91999999999999</v>
      </c>
    </row>
    <row r="137" spans="1:1" x14ac:dyDescent="0.35">
      <c r="A137" s="6">
        <v>154.36000000000001</v>
      </c>
    </row>
    <row r="138" spans="1:1" x14ac:dyDescent="0.35">
      <c r="A138" s="6">
        <v>151.9</v>
      </c>
    </row>
    <row r="139" spans="1:1" x14ac:dyDescent="0.35">
      <c r="A139" s="6">
        <v>151.35</v>
      </c>
    </row>
    <row r="140" spans="1:1" x14ac:dyDescent="0.35">
      <c r="A140" s="6">
        <v>149.88</v>
      </c>
    </row>
    <row r="141" spans="1:1" x14ac:dyDescent="0.35">
      <c r="A141" s="6">
        <v>147.79</v>
      </c>
    </row>
    <row r="142" spans="1:1" x14ac:dyDescent="0.35">
      <c r="A142" s="6">
        <v>146.94</v>
      </c>
    </row>
    <row r="143" spans="1:1" x14ac:dyDescent="0.35">
      <c r="A143" s="6">
        <v>145.99</v>
      </c>
    </row>
    <row r="144" spans="1:1" x14ac:dyDescent="0.35">
      <c r="A144" s="6">
        <v>145.52000000000001</v>
      </c>
    </row>
    <row r="145" spans="1:1" x14ac:dyDescent="0.35">
      <c r="A145" s="6">
        <v>145.44999999999999</v>
      </c>
    </row>
    <row r="146" spans="1:1" x14ac:dyDescent="0.35">
      <c r="A146" s="6">
        <v>143.97</v>
      </c>
    </row>
    <row r="147" spans="1:1" x14ac:dyDescent="0.35">
      <c r="A147" s="6">
        <v>143.82</v>
      </c>
    </row>
    <row r="148" spans="1:1" x14ac:dyDescent="0.35">
      <c r="A148" s="6">
        <v>142.77000000000001</v>
      </c>
    </row>
    <row r="149" spans="1:1" x14ac:dyDescent="0.35">
      <c r="A149" s="6">
        <v>140.91</v>
      </c>
    </row>
    <row r="150" spans="1:1" x14ac:dyDescent="0.35">
      <c r="A150" s="6">
        <v>139.97999999999999</v>
      </c>
    </row>
    <row r="151" spans="1:1" x14ac:dyDescent="0.35">
      <c r="A151" s="6">
        <v>135.91999999999999</v>
      </c>
    </row>
    <row r="152" spans="1:1" x14ac:dyDescent="0.35">
      <c r="A152" s="6">
        <v>134.32</v>
      </c>
    </row>
    <row r="153" spans="1:1" x14ac:dyDescent="0.35">
      <c r="A153" s="6">
        <v>131.96</v>
      </c>
    </row>
    <row r="154" spans="1:1" x14ac:dyDescent="0.35">
      <c r="A154" s="6">
        <v>131.85</v>
      </c>
    </row>
    <row r="155" spans="1:1" x14ac:dyDescent="0.35">
      <c r="A155" s="6">
        <v>130.36000000000001</v>
      </c>
    </row>
    <row r="156" spans="1:1" x14ac:dyDescent="0.35">
      <c r="A156" s="6">
        <v>126.37</v>
      </c>
    </row>
    <row r="157" spans="1:1" x14ac:dyDescent="0.35">
      <c r="A157" s="6">
        <v>125.54</v>
      </c>
    </row>
    <row r="158" spans="1:1" x14ac:dyDescent="0.35">
      <c r="A158" s="6">
        <v>124.77</v>
      </c>
    </row>
    <row r="159" spans="1:1" x14ac:dyDescent="0.35">
      <c r="A159" s="6">
        <v>124.76</v>
      </c>
    </row>
    <row r="160" spans="1:1" x14ac:dyDescent="0.35">
      <c r="A160" s="6">
        <v>122.36</v>
      </c>
    </row>
    <row r="161" spans="1:1" x14ac:dyDescent="0.35">
      <c r="A161" s="6">
        <v>121.56</v>
      </c>
    </row>
    <row r="162" spans="1:1" x14ac:dyDescent="0.35">
      <c r="A162" s="6">
        <v>119.96</v>
      </c>
    </row>
    <row r="163" spans="1:1" x14ac:dyDescent="0.35">
      <c r="A163" s="6">
        <v>119.96</v>
      </c>
    </row>
    <row r="164" spans="1:1" x14ac:dyDescent="0.35">
      <c r="A164" s="6">
        <v>119.85</v>
      </c>
    </row>
    <row r="165" spans="1:1" x14ac:dyDescent="0.35">
      <c r="A165" s="6">
        <v>118.91</v>
      </c>
    </row>
    <row r="166" spans="1:1" x14ac:dyDescent="0.35">
      <c r="A166" s="6">
        <v>117.94</v>
      </c>
    </row>
    <row r="167" spans="1:1" x14ac:dyDescent="0.35">
      <c r="A167" s="6">
        <v>116.78</v>
      </c>
    </row>
    <row r="168" spans="1:1" x14ac:dyDescent="0.35">
      <c r="A168" s="6">
        <v>115.94</v>
      </c>
    </row>
    <row r="169" spans="1:1" x14ac:dyDescent="0.35">
      <c r="A169" s="6">
        <v>115.92</v>
      </c>
    </row>
    <row r="170" spans="1:1" x14ac:dyDescent="0.35">
      <c r="A170" s="6">
        <v>114.31</v>
      </c>
    </row>
    <row r="171" spans="1:1" x14ac:dyDescent="0.35">
      <c r="A171" s="6">
        <v>111.98</v>
      </c>
    </row>
    <row r="172" spans="1:1" x14ac:dyDescent="0.35">
      <c r="A172" s="6">
        <v>111.98</v>
      </c>
    </row>
    <row r="173" spans="1:1" x14ac:dyDescent="0.35">
      <c r="A173" s="6">
        <v>111.98</v>
      </c>
    </row>
    <row r="174" spans="1:1" x14ac:dyDescent="0.35">
      <c r="A174" s="6">
        <v>111.8</v>
      </c>
    </row>
    <row r="175" spans="1:1" x14ac:dyDescent="0.35">
      <c r="A175" s="6">
        <v>111.18</v>
      </c>
    </row>
    <row r="176" spans="1:1" x14ac:dyDescent="0.35">
      <c r="A176" s="6">
        <v>111.16</v>
      </c>
    </row>
    <row r="177" spans="1:1" x14ac:dyDescent="0.35">
      <c r="A177" s="6">
        <v>110.94</v>
      </c>
    </row>
    <row r="178" spans="1:1" x14ac:dyDescent="0.35">
      <c r="A178" s="6">
        <v>109.99</v>
      </c>
    </row>
    <row r="179" spans="1:1" x14ac:dyDescent="0.35">
      <c r="A179" s="6">
        <v>106.32</v>
      </c>
    </row>
    <row r="180" spans="1:1" x14ac:dyDescent="0.35">
      <c r="A180" s="6">
        <v>106.31</v>
      </c>
    </row>
    <row r="181" spans="1:1" x14ac:dyDescent="0.35">
      <c r="A181" s="6">
        <v>106.26</v>
      </c>
    </row>
    <row r="182" spans="1:1" x14ac:dyDescent="0.35">
      <c r="A182" s="6">
        <v>105.94</v>
      </c>
    </row>
    <row r="183" spans="1:1" x14ac:dyDescent="0.35">
      <c r="A183" s="6">
        <v>105.52</v>
      </c>
    </row>
    <row r="184" spans="1:1" x14ac:dyDescent="0.35">
      <c r="A184" s="6">
        <v>105.12</v>
      </c>
    </row>
    <row r="185" spans="1:1" x14ac:dyDescent="0.35">
      <c r="A185" s="6">
        <v>104.78</v>
      </c>
    </row>
    <row r="186" spans="1:1" x14ac:dyDescent="0.35">
      <c r="A186" s="6">
        <v>104.78</v>
      </c>
    </row>
    <row r="187" spans="1:1" x14ac:dyDescent="0.35">
      <c r="A187" s="6">
        <v>103.94</v>
      </c>
    </row>
    <row r="188" spans="1:1" x14ac:dyDescent="0.35">
      <c r="A188" s="6">
        <v>103.18</v>
      </c>
    </row>
    <row r="189" spans="1:1" x14ac:dyDescent="0.35">
      <c r="A189" s="6">
        <v>103.05</v>
      </c>
    </row>
    <row r="190" spans="1:1" x14ac:dyDescent="0.35">
      <c r="A190" s="6">
        <v>103.02</v>
      </c>
    </row>
    <row r="191" spans="1:1" x14ac:dyDescent="0.35">
      <c r="A191" s="6">
        <v>101.97</v>
      </c>
    </row>
    <row r="192" spans="1:1" x14ac:dyDescent="0.35">
      <c r="A192" s="6">
        <v>101.95</v>
      </c>
    </row>
    <row r="193" spans="1:1" x14ac:dyDescent="0.35">
      <c r="A193" s="6">
        <v>100</v>
      </c>
    </row>
    <row r="194" spans="1:1" x14ac:dyDescent="0.35">
      <c r="A194" s="6">
        <v>100</v>
      </c>
    </row>
    <row r="195" spans="1:1" x14ac:dyDescent="0.35">
      <c r="A195" s="6">
        <v>99.99</v>
      </c>
    </row>
    <row r="196" spans="1:1" x14ac:dyDescent="0.35">
      <c r="A196" s="6">
        <v>99.98</v>
      </c>
    </row>
    <row r="197" spans="1:1" x14ac:dyDescent="0.35">
      <c r="A197" s="6">
        <v>98.99</v>
      </c>
    </row>
    <row r="198" spans="1:1" x14ac:dyDescent="0.35">
      <c r="A198" s="6">
        <v>96.77</v>
      </c>
    </row>
    <row r="199" spans="1:1" x14ac:dyDescent="0.35">
      <c r="A199" s="6">
        <v>95.99</v>
      </c>
    </row>
    <row r="200" spans="1:1" x14ac:dyDescent="0.35">
      <c r="A200" s="6">
        <v>95.98</v>
      </c>
    </row>
    <row r="201" spans="1:1" x14ac:dyDescent="0.35">
      <c r="A201" s="6">
        <v>95.96</v>
      </c>
    </row>
    <row r="202" spans="1:1" x14ac:dyDescent="0.35">
      <c r="A202" s="6">
        <v>95.8</v>
      </c>
    </row>
    <row r="203" spans="1:1" x14ac:dyDescent="0.35">
      <c r="A203" s="6">
        <v>93.57</v>
      </c>
    </row>
    <row r="204" spans="1:1" x14ac:dyDescent="0.35">
      <c r="A204" s="6">
        <v>91.97</v>
      </c>
    </row>
    <row r="205" spans="1:1" x14ac:dyDescent="0.35">
      <c r="A205" s="6">
        <v>91.08</v>
      </c>
    </row>
    <row r="206" spans="1:1" x14ac:dyDescent="0.35">
      <c r="A206" s="6">
        <v>90.38</v>
      </c>
    </row>
    <row r="207" spans="1:1" x14ac:dyDescent="0.35">
      <c r="A207" s="6">
        <v>89.95</v>
      </c>
    </row>
    <row r="208" spans="1:1" x14ac:dyDescent="0.35">
      <c r="A208" s="6">
        <v>89.9</v>
      </c>
    </row>
    <row r="209" spans="1:1" x14ac:dyDescent="0.35">
      <c r="A209" s="6">
        <v>89.58</v>
      </c>
    </row>
    <row r="210" spans="1:1" x14ac:dyDescent="0.35">
      <c r="A210" s="6">
        <v>88.2</v>
      </c>
    </row>
    <row r="211" spans="1:1" x14ac:dyDescent="0.35">
      <c r="A211" s="6">
        <v>87.99</v>
      </c>
    </row>
    <row r="212" spans="1:1" x14ac:dyDescent="0.35">
      <c r="A212" s="6">
        <v>87.99</v>
      </c>
    </row>
    <row r="213" spans="1:1" x14ac:dyDescent="0.35">
      <c r="A213" s="6">
        <v>87.99</v>
      </c>
    </row>
    <row r="214" spans="1:1" x14ac:dyDescent="0.35">
      <c r="A214" s="6">
        <v>87.99</v>
      </c>
    </row>
    <row r="215" spans="1:1" x14ac:dyDescent="0.35">
      <c r="A215" s="6">
        <v>87.98</v>
      </c>
    </row>
    <row r="216" spans="1:1" x14ac:dyDescent="0.35">
      <c r="A216" s="6">
        <v>86.38</v>
      </c>
    </row>
    <row r="217" spans="1:1" x14ac:dyDescent="0.35">
      <c r="A217" s="6">
        <v>84.94</v>
      </c>
    </row>
    <row r="218" spans="1:1" x14ac:dyDescent="0.35">
      <c r="A218" s="6">
        <v>84.75</v>
      </c>
    </row>
    <row r="219" spans="1:1" x14ac:dyDescent="0.35">
      <c r="A219" s="6">
        <v>83.16</v>
      </c>
    </row>
    <row r="220" spans="1:1" x14ac:dyDescent="0.35">
      <c r="A220" s="6">
        <v>82.96</v>
      </c>
    </row>
    <row r="221" spans="1:1" x14ac:dyDescent="0.35">
      <c r="A221" s="6">
        <v>82.92</v>
      </c>
    </row>
    <row r="222" spans="1:1" x14ac:dyDescent="0.35">
      <c r="A222" s="6">
        <v>82.2</v>
      </c>
    </row>
    <row r="223" spans="1:1" x14ac:dyDescent="0.35">
      <c r="A223" s="6">
        <v>80.98</v>
      </c>
    </row>
    <row r="224" spans="1:1" x14ac:dyDescent="0.35">
      <c r="A224" s="6">
        <v>80.760000000000005</v>
      </c>
    </row>
    <row r="225" spans="1:1" x14ac:dyDescent="0.35">
      <c r="A225" s="6">
        <v>79.989999999999995</v>
      </c>
    </row>
    <row r="226" spans="1:1" x14ac:dyDescent="0.35">
      <c r="A226" s="6">
        <v>79.989999999999995</v>
      </c>
    </row>
    <row r="227" spans="1:1" x14ac:dyDescent="0.35">
      <c r="A227" s="6">
        <v>79.989999999999995</v>
      </c>
    </row>
    <row r="228" spans="1:1" x14ac:dyDescent="0.35">
      <c r="A228" s="6">
        <v>79.989999999999995</v>
      </c>
    </row>
    <row r="229" spans="1:1" x14ac:dyDescent="0.35">
      <c r="A229" s="6">
        <v>79.989999999999995</v>
      </c>
    </row>
    <row r="230" spans="1:1" x14ac:dyDescent="0.35">
      <c r="A230" s="6">
        <v>79.989999999999995</v>
      </c>
    </row>
    <row r="231" spans="1:1" x14ac:dyDescent="0.35">
      <c r="A231" s="6">
        <v>79.989999999999995</v>
      </c>
    </row>
    <row r="232" spans="1:1" x14ac:dyDescent="0.35">
      <c r="A232" s="6">
        <v>79.989999999999995</v>
      </c>
    </row>
    <row r="233" spans="1:1" x14ac:dyDescent="0.35">
      <c r="A233" s="6">
        <v>79.959999999999994</v>
      </c>
    </row>
    <row r="234" spans="1:1" x14ac:dyDescent="0.35">
      <c r="A234" s="6">
        <v>79.8</v>
      </c>
    </row>
    <row r="235" spans="1:1" x14ac:dyDescent="0.35">
      <c r="A235" s="6">
        <v>79.19</v>
      </c>
    </row>
    <row r="236" spans="1:1" x14ac:dyDescent="0.35">
      <c r="A236" s="6">
        <v>79.19</v>
      </c>
    </row>
    <row r="237" spans="1:1" x14ac:dyDescent="0.35">
      <c r="A237" s="6">
        <v>79.17</v>
      </c>
    </row>
    <row r="238" spans="1:1" x14ac:dyDescent="0.35">
      <c r="A238" s="6">
        <v>77.53</v>
      </c>
    </row>
    <row r="239" spans="1:1" x14ac:dyDescent="0.35">
      <c r="A239" s="6">
        <v>76.78</v>
      </c>
    </row>
    <row r="240" spans="1:1" x14ac:dyDescent="0.35">
      <c r="A240" s="6">
        <v>76.760000000000005</v>
      </c>
    </row>
    <row r="241" spans="1:1" x14ac:dyDescent="0.35">
      <c r="A241" s="6">
        <v>75.959999999999994</v>
      </c>
    </row>
    <row r="242" spans="1:1" x14ac:dyDescent="0.35">
      <c r="A242" s="6">
        <v>75.95</v>
      </c>
    </row>
    <row r="243" spans="1:1" x14ac:dyDescent="0.35">
      <c r="A243" s="6">
        <v>75.180000000000007</v>
      </c>
    </row>
    <row r="244" spans="1:1" x14ac:dyDescent="0.35">
      <c r="A244" s="6">
        <v>75.180000000000007</v>
      </c>
    </row>
    <row r="245" spans="1:1" x14ac:dyDescent="0.35">
      <c r="A245" s="6">
        <v>75.180000000000007</v>
      </c>
    </row>
    <row r="246" spans="1:1" x14ac:dyDescent="0.35">
      <c r="A246" s="6">
        <v>75.17</v>
      </c>
    </row>
    <row r="247" spans="1:1" x14ac:dyDescent="0.35">
      <c r="A247" s="6">
        <v>74.989999999999995</v>
      </c>
    </row>
    <row r="248" spans="1:1" x14ac:dyDescent="0.35">
      <c r="A248" s="6">
        <v>74.989999999999995</v>
      </c>
    </row>
    <row r="249" spans="1:1" x14ac:dyDescent="0.35">
      <c r="A249" s="6">
        <v>74.989999999999995</v>
      </c>
    </row>
    <row r="250" spans="1:1" x14ac:dyDescent="0.35">
      <c r="A250" s="6">
        <v>74.959999999999994</v>
      </c>
    </row>
    <row r="251" spans="1:1" x14ac:dyDescent="0.35">
      <c r="A251" s="6">
        <v>74.349999999999994</v>
      </c>
    </row>
    <row r="252" spans="1:1" x14ac:dyDescent="0.35">
      <c r="A252" s="6">
        <v>73.58</v>
      </c>
    </row>
    <row r="253" spans="1:1" x14ac:dyDescent="0.35">
      <c r="A253" s="6">
        <v>73.52</v>
      </c>
    </row>
    <row r="254" spans="1:1" x14ac:dyDescent="0.35">
      <c r="A254" s="6">
        <v>71.97</v>
      </c>
    </row>
    <row r="255" spans="1:1" x14ac:dyDescent="0.35">
      <c r="A255" s="6">
        <v>71.94</v>
      </c>
    </row>
    <row r="256" spans="1:1" x14ac:dyDescent="0.35">
      <c r="A256" s="6">
        <v>71.8</v>
      </c>
    </row>
    <row r="257" spans="1:1" x14ac:dyDescent="0.35">
      <c r="A257" s="6">
        <v>71.569999999999993</v>
      </c>
    </row>
    <row r="258" spans="1:1" x14ac:dyDescent="0.35">
      <c r="A258" s="6">
        <v>71.09</v>
      </c>
    </row>
    <row r="259" spans="1:1" x14ac:dyDescent="0.35">
      <c r="A259" s="6">
        <v>70.92</v>
      </c>
    </row>
    <row r="260" spans="1:1" x14ac:dyDescent="0.35">
      <c r="A260" s="6">
        <v>70.39</v>
      </c>
    </row>
    <row r="261" spans="1:1" x14ac:dyDescent="0.35">
      <c r="A261" s="6">
        <v>69.39</v>
      </c>
    </row>
    <row r="262" spans="1:1" x14ac:dyDescent="0.35">
      <c r="A262" s="6">
        <v>68.77</v>
      </c>
    </row>
    <row r="263" spans="1:1" x14ac:dyDescent="0.35">
      <c r="A263" s="6">
        <v>67.14</v>
      </c>
    </row>
    <row r="264" spans="1:1" x14ac:dyDescent="0.35">
      <c r="A264" s="6">
        <v>66.930000000000007</v>
      </c>
    </row>
    <row r="265" spans="1:1" x14ac:dyDescent="0.35">
      <c r="A265" s="6">
        <v>64.78</v>
      </c>
    </row>
    <row r="266" spans="1:1" x14ac:dyDescent="0.35">
      <c r="A266" s="6">
        <v>64.77</v>
      </c>
    </row>
    <row r="267" spans="1:1" x14ac:dyDescent="0.35">
      <c r="A267" s="6">
        <v>64.7</v>
      </c>
    </row>
    <row r="268" spans="1:1" x14ac:dyDescent="0.35">
      <c r="A268" s="6">
        <v>62.97</v>
      </c>
    </row>
    <row r="269" spans="1:1" x14ac:dyDescent="0.35">
      <c r="A269" s="6">
        <v>61.96</v>
      </c>
    </row>
    <row r="270" spans="1:1" x14ac:dyDescent="0.35">
      <c r="A270" s="6">
        <v>61.38</v>
      </c>
    </row>
    <row r="271" spans="1:1" x14ac:dyDescent="0.35">
      <c r="A271" s="6">
        <v>60.78</v>
      </c>
    </row>
    <row r="272" spans="1:1" x14ac:dyDescent="0.35">
      <c r="A272" s="6">
        <v>59.99</v>
      </c>
    </row>
    <row r="273" spans="1:1" x14ac:dyDescent="0.35">
      <c r="A273" s="6">
        <v>59.99</v>
      </c>
    </row>
    <row r="274" spans="1:1" x14ac:dyDescent="0.35">
      <c r="A274" s="6">
        <v>59.99</v>
      </c>
    </row>
    <row r="275" spans="1:1" x14ac:dyDescent="0.35">
      <c r="A275" s="6">
        <v>59.99</v>
      </c>
    </row>
    <row r="276" spans="1:1" x14ac:dyDescent="0.35">
      <c r="A276" s="6">
        <v>59.99</v>
      </c>
    </row>
    <row r="277" spans="1:1" x14ac:dyDescent="0.35">
      <c r="A277" s="6">
        <v>59.99</v>
      </c>
    </row>
    <row r="278" spans="1:1" x14ac:dyDescent="0.35">
      <c r="A278" s="6">
        <v>59.99</v>
      </c>
    </row>
    <row r="279" spans="1:1" x14ac:dyDescent="0.35">
      <c r="A279" s="6">
        <v>59.99</v>
      </c>
    </row>
    <row r="280" spans="1:1" x14ac:dyDescent="0.35">
      <c r="A280" s="6">
        <v>59.98</v>
      </c>
    </row>
    <row r="281" spans="1:1" x14ac:dyDescent="0.35">
      <c r="A281" s="6">
        <v>59.96</v>
      </c>
    </row>
    <row r="282" spans="1:1" x14ac:dyDescent="0.35">
      <c r="A282" s="6">
        <v>59.54</v>
      </c>
    </row>
    <row r="283" spans="1:1" x14ac:dyDescent="0.35">
      <c r="A283" s="6">
        <v>59.17</v>
      </c>
    </row>
    <row r="284" spans="1:1" x14ac:dyDescent="0.35">
      <c r="A284" s="6">
        <v>58.35</v>
      </c>
    </row>
    <row r="285" spans="1:1" x14ac:dyDescent="0.35">
      <c r="A285" s="6">
        <v>57.97</v>
      </c>
    </row>
    <row r="286" spans="1:1" x14ac:dyDescent="0.35">
      <c r="A286" s="6">
        <v>57.57</v>
      </c>
    </row>
    <row r="287" spans="1:1" x14ac:dyDescent="0.35">
      <c r="A287" s="6">
        <v>57.56</v>
      </c>
    </row>
    <row r="288" spans="1:1" x14ac:dyDescent="0.35">
      <c r="A288" s="6">
        <v>57.36</v>
      </c>
    </row>
    <row r="289" spans="1:1" x14ac:dyDescent="0.35">
      <c r="A289" s="6">
        <v>56.69</v>
      </c>
    </row>
    <row r="290" spans="1:1" x14ac:dyDescent="0.35">
      <c r="A290" s="6">
        <v>56</v>
      </c>
    </row>
    <row r="291" spans="1:1" x14ac:dyDescent="0.35">
      <c r="A291" s="6">
        <v>55.99</v>
      </c>
    </row>
    <row r="292" spans="1:1" x14ac:dyDescent="0.35">
      <c r="A292" s="6">
        <v>55.99</v>
      </c>
    </row>
    <row r="293" spans="1:1" x14ac:dyDescent="0.35">
      <c r="A293" s="6">
        <v>55.99</v>
      </c>
    </row>
    <row r="294" spans="1:1" x14ac:dyDescent="0.35">
      <c r="A294" s="6">
        <v>55.99</v>
      </c>
    </row>
    <row r="295" spans="1:1" x14ac:dyDescent="0.35">
      <c r="A295" s="6">
        <v>55.99</v>
      </c>
    </row>
    <row r="296" spans="1:1" x14ac:dyDescent="0.35">
      <c r="A296" s="6">
        <v>55.99</v>
      </c>
    </row>
    <row r="297" spans="1:1" x14ac:dyDescent="0.35">
      <c r="A297" s="6">
        <v>55.99</v>
      </c>
    </row>
    <row r="298" spans="1:1" x14ac:dyDescent="0.35">
      <c r="A298" s="6">
        <v>55.99</v>
      </c>
    </row>
    <row r="299" spans="1:1" x14ac:dyDescent="0.35">
      <c r="A299" s="6">
        <v>55.99</v>
      </c>
    </row>
    <row r="300" spans="1:1" x14ac:dyDescent="0.35">
      <c r="A300" s="6">
        <v>55.98</v>
      </c>
    </row>
    <row r="301" spans="1:1" x14ac:dyDescent="0.35">
      <c r="A301" s="6">
        <v>55.16</v>
      </c>
    </row>
    <row r="302" spans="1:1" x14ac:dyDescent="0.35">
      <c r="A302" s="6">
        <v>55.01</v>
      </c>
    </row>
    <row r="303" spans="1:1" x14ac:dyDescent="0.35">
      <c r="A303" s="6">
        <v>53.56</v>
      </c>
    </row>
    <row r="304" spans="1:1" x14ac:dyDescent="0.35">
      <c r="A304" s="6">
        <v>51.99</v>
      </c>
    </row>
    <row r="305" spans="1:1" x14ac:dyDescent="0.35">
      <c r="A305" s="6">
        <v>51.97</v>
      </c>
    </row>
    <row r="306" spans="1:1" x14ac:dyDescent="0.35">
      <c r="A306" s="6">
        <v>51.96</v>
      </c>
    </row>
    <row r="307" spans="1:1" x14ac:dyDescent="0.35">
      <c r="A307" s="6">
        <v>51.89</v>
      </c>
    </row>
    <row r="308" spans="1:1" x14ac:dyDescent="0.35">
      <c r="A308" s="6">
        <v>51.02</v>
      </c>
    </row>
    <row r="309" spans="1:1" x14ac:dyDescent="0.35">
      <c r="A309" s="6">
        <v>50.97</v>
      </c>
    </row>
    <row r="310" spans="1:1" x14ac:dyDescent="0.35">
      <c r="A310" s="6">
        <v>50.39</v>
      </c>
    </row>
    <row r="311" spans="1:1" x14ac:dyDescent="0.35">
      <c r="A311" s="6">
        <v>50.34</v>
      </c>
    </row>
    <row r="312" spans="1:1" x14ac:dyDescent="0.35">
      <c r="A312" s="6">
        <v>50</v>
      </c>
    </row>
    <row r="313" spans="1:1" x14ac:dyDescent="0.35">
      <c r="A313" s="6">
        <v>49.99</v>
      </c>
    </row>
    <row r="314" spans="1:1" x14ac:dyDescent="0.35">
      <c r="A314" s="6">
        <v>49.96</v>
      </c>
    </row>
    <row r="315" spans="1:1" x14ac:dyDescent="0.35">
      <c r="A315" s="6">
        <v>49.96</v>
      </c>
    </row>
    <row r="316" spans="1:1" x14ac:dyDescent="0.35">
      <c r="A316" s="6">
        <v>49.58</v>
      </c>
    </row>
    <row r="317" spans="1:1" x14ac:dyDescent="0.35">
      <c r="A317" s="6">
        <v>49.58</v>
      </c>
    </row>
    <row r="318" spans="1:1" x14ac:dyDescent="0.35">
      <c r="A318" s="6">
        <v>48.89</v>
      </c>
    </row>
    <row r="319" spans="1:1" x14ac:dyDescent="0.35">
      <c r="A319" s="6">
        <v>48.22</v>
      </c>
    </row>
    <row r="320" spans="1:1" x14ac:dyDescent="0.35">
      <c r="A320" s="6">
        <v>47.97</v>
      </c>
    </row>
    <row r="321" spans="1:1" x14ac:dyDescent="0.35">
      <c r="A321" s="6">
        <v>47.97</v>
      </c>
    </row>
    <row r="322" spans="1:1" x14ac:dyDescent="0.35">
      <c r="A322" s="6">
        <v>47.9</v>
      </c>
    </row>
    <row r="323" spans="1:1" x14ac:dyDescent="0.35">
      <c r="A323" s="6">
        <v>47.18</v>
      </c>
    </row>
    <row r="324" spans="1:1" x14ac:dyDescent="0.35">
      <c r="A324" s="6">
        <v>46.11</v>
      </c>
    </row>
    <row r="325" spans="1:1" x14ac:dyDescent="0.35">
      <c r="A325" s="6">
        <v>44.97</v>
      </c>
    </row>
    <row r="326" spans="1:1" x14ac:dyDescent="0.35">
      <c r="A326" s="6">
        <v>44.79</v>
      </c>
    </row>
    <row r="327" spans="1:1" x14ac:dyDescent="0.35">
      <c r="A327" s="6">
        <v>44.79</v>
      </c>
    </row>
    <row r="328" spans="1:1" x14ac:dyDescent="0.35">
      <c r="A328" s="6">
        <v>44.79</v>
      </c>
    </row>
    <row r="329" spans="1:1" x14ac:dyDescent="0.35">
      <c r="A329" s="6">
        <v>44.79</v>
      </c>
    </row>
    <row r="330" spans="1:1" x14ac:dyDescent="0.35">
      <c r="A330" s="6">
        <v>44.79</v>
      </c>
    </row>
    <row r="331" spans="1:1" x14ac:dyDescent="0.35">
      <c r="A331" s="6">
        <v>44.79</v>
      </c>
    </row>
    <row r="332" spans="1:1" x14ac:dyDescent="0.35">
      <c r="A332" s="6">
        <v>44.79</v>
      </c>
    </row>
    <row r="333" spans="1:1" x14ac:dyDescent="0.35">
      <c r="A333" s="6">
        <v>44.79</v>
      </c>
    </row>
    <row r="334" spans="1:1" x14ac:dyDescent="0.35">
      <c r="A334" s="6">
        <v>44.79</v>
      </c>
    </row>
    <row r="335" spans="1:1" x14ac:dyDescent="0.35">
      <c r="A335" s="6">
        <v>44.79</v>
      </c>
    </row>
    <row r="336" spans="1:1" x14ac:dyDescent="0.35">
      <c r="A336" s="6">
        <v>44.79</v>
      </c>
    </row>
    <row r="337" spans="1:1" x14ac:dyDescent="0.35">
      <c r="A337" s="6">
        <v>44.79</v>
      </c>
    </row>
    <row r="338" spans="1:1" x14ac:dyDescent="0.35">
      <c r="A338" s="6">
        <v>44.79</v>
      </c>
    </row>
    <row r="339" spans="1:1" x14ac:dyDescent="0.35">
      <c r="A339" s="6">
        <v>44.79</v>
      </c>
    </row>
    <row r="340" spans="1:1" x14ac:dyDescent="0.35">
      <c r="A340" s="6">
        <v>44.79</v>
      </c>
    </row>
    <row r="341" spans="1:1" x14ac:dyDescent="0.35">
      <c r="A341" s="6">
        <v>44.79</v>
      </c>
    </row>
    <row r="342" spans="1:1" x14ac:dyDescent="0.35">
      <c r="A342" s="6">
        <v>44.79</v>
      </c>
    </row>
    <row r="343" spans="1:1" x14ac:dyDescent="0.35">
      <c r="A343" s="6">
        <v>44.79</v>
      </c>
    </row>
    <row r="344" spans="1:1" x14ac:dyDescent="0.35">
      <c r="A344" s="6">
        <v>44.79</v>
      </c>
    </row>
    <row r="345" spans="1:1" x14ac:dyDescent="0.35">
      <c r="A345" s="6">
        <v>44.79</v>
      </c>
    </row>
    <row r="346" spans="1:1" x14ac:dyDescent="0.35">
      <c r="A346" s="6">
        <v>44.79</v>
      </c>
    </row>
    <row r="347" spans="1:1" x14ac:dyDescent="0.35">
      <c r="A347" s="6">
        <v>44.79</v>
      </c>
    </row>
    <row r="348" spans="1:1" x14ac:dyDescent="0.35">
      <c r="A348" s="6">
        <v>44.79</v>
      </c>
    </row>
    <row r="349" spans="1:1" x14ac:dyDescent="0.35">
      <c r="A349" s="6">
        <v>44.77</v>
      </c>
    </row>
    <row r="350" spans="1:1" x14ac:dyDescent="0.35">
      <c r="A350" s="6">
        <v>44.75</v>
      </c>
    </row>
    <row r="351" spans="1:1" x14ac:dyDescent="0.35">
      <c r="A351" s="6">
        <v>44</v>
      </c>
    </row>
    <row r="352" spans="1:1" x14ac:dyDescent="0.35">
      <c r="A352" s="6">
        <v>43.98</v>
      </c>
    </row>
    <row r="353" spans="1:1" x14ac:dyDescent="0.35">
      <c r="A353" s="6">
        <v>43.98</v>
      </c>
    </row>
    <row r="354" spans="1:1" x14ac:dyDescent="0.35">
      <c r="A354" s="6">
        <v>43.97</v>
      </c>
    </row>
    <row r="355" spans="1:1" x14ac:dyDescent="0.35">
      <c r="A355" s="6">
        <v>43.96</v>
      </c>
    </row>
    <row r="356" spans="1:1" x14ac:dyDescent="0.35">
      <c r="A356" s="6">
        <v>43.18</v>
      </c>
    </row>
    <row r="357" spans="1:1" x14ac:dyDescent="0.35">
      <c r="A357" s="6">
        <v>43.16</v>
      </c>
    </row>
    <row r="358" spans="1:1" x14ac:dyDescent="0.35">
      <c r="A358" s="6">
        <v>43.14</v>
      </c>
    </row>
    <row r="359" spans="1:1" x14ac:dyDescent="0.35">
      <c r="A359" s="6">
        <v>43.1</v>
      </c>
    </row>
    <row r="360" spans="1:1" x14ac:dyDescent="0.35">
      <c r="A360" s="6">
        <v>42.48</v>
      </c>
    </row>
    <row r="361" spans="1:1" x14ac:dyDescent="0.35">
      <c r="A361" s="6">
        <v>42.37</v>
      </c>
    </row>
    <row r="362" spans="1:1" x14ac:dyDescent="0.35">
      <c r="A362" s="6">
        <v>42.37</v>
      </c>
    </row>
    <row r="363" spans="1:1" x14ac:dyDescent="0.35">
      <c r="A363" s="6">
        <v>42.36</v>
      </c>
    </row>
    <row r="364" spans="1:1" x14ac:dyDescent="0.35">
      <c r="A364" s="6">
        <v>41.98</v>
      </c>
    </row>
    <row r="365" spans="1:1" x14ac:dyDescent="0.35">
      <c r="A365" s="6">
        <v>41.59</v>
      </c>
    </row>
    <row r="366" spans="1:1" x14ac:dyDescent="0.35">
      <c r="A366" s="6">
        <v>41.59</v>
      </c>
    </row>
    <row r="367" spans="1:1" x14ac:dyDescent="0.35">
      <c r="A367" s="6">
        <v>41.59</v>
      </c>
    </row>
    <row r="368" spans="1:1" x14ac:dyDescent="0.35">
      <c r="A368" s="6">
        <v>41.59</v>
      </c>
    </row>
    <row r="369" spans="1:1" x14ac:dyDescent="0.35">
      <c r="A369" s="6">
        <v>41.56</v>
      </c>
    </row>
    <row r="370" spans="1:1" x14ac:dyDescent="0.35">
      <c r="A370" s="6">
        <v>40.770000000000003</v>
      </c>
    </row>
    <row r="371" spans="1:1" x14ac:dyDescent="0.35">
      <c r="A371" s="6">
        <v>40.770000000000003</v>
      </c>
    </row>
    <row r="372" spans="1:1" x14ac:dyDescent="0.35">
      <c r="A372" s="6">
        <v>39.99</v>
      </c>
    </row>
    <row r="373" spans="1:1" x14ac:dyDescent="0.35">
      <c r="A373" s="6">
        <v>39.99</v>
      </c>
    </row>
    <row r="374" spans="1:1" x14ac:dyDescent="0.35">
      <c r="A374" s="6">
        <v>39.99</v>
      </c>
    </row>
    <row r="375" spans="1:1" x14ac:dyDescent="0.35">
      <c r="A375" s="6">
        <v>39.97</v>
      </c>
    </row>
    <row r="376" spans="1:1" x14ac:dyDescent="0.35">
      <c r="A376" s="6">
        <v>39.47</v>
      </c>
    </row>
    <row r="377" spans="1:1" x14ac:dyDescent="0.35">
      <c r="A377" s="6">
        <v>39.17</v>
      </c>
    </row>
    <row r="378" spans="1:1" x14ac:dyDescent="0.35">
      <c r="A378" s="6">
        <v>39.17</v>
      </c>
    </row>
    <row r="379" spans="1:1" x14ac:dyDescent="0.35">
      <c r="A379" s="6">
        <v>39.14</v>
      </c>
    </row>
    <row r="380" spans="1:1" x14ac:dyDescent="0.35">
      <c r="A380" s="6">
        <v>38.979999999999997</v>
      </c>
    </row>
    <row r="381" spans="1:1" x14ac:dyDescent="0.35">
      <c r="A381" s="6">
        <v>38.979999999999997</v>
      </c>
    </row>
    <row r="382" spans="1:1" x14ac:dyDescent="0.35">
      <c r="A382" s="6">
        <v>38.97</v>
      </c>
    </row>
    <row r="383" spans="1:1" x14ac:dyDescent="0.35">
      <c r="A383" s="6">
        <v>38.35</v>
      </c>
    </row>
    <row r="384" spans="1:1" x14ac:dyDescent="0.35">
      <c r="A384" s="6">
        <v>38.28</v>
      </c>
    </row>
    <row r="385" spans="1:1" x14ac:dyDescent="0.35">
      <c r="A385" s="6">
        <v>37.979999999999997</v>
      </c>
    </row>
    <row r="386" spans="1:1" x14ac:dyDescent="0.35">
      <c r="A386" s="6">
        <v>37.57</v>
      </c>
    </row>
    <row r="387" spans="1:1" x14ac:dyDescent="0.35">
      <c r="A387" s="6">
        <v>36.78</v>
      </c>
    </row>
    <row r="388" spans="1:1" x14ac:dyDescent="0.35">
      <c r="A388" s="6">
        <v>36</v>
      </c>
    </row>
    <row r="389" spans="1:1" x14ac:dyDescent="0.35">
      <c r="A389" s="6">
        <v>35.979999999999997</v>
      </c>
    </row>
    <row r="390" spans="1:1" x14ac:dyDescent="0.35">
      <c r="A390" s="6">
        <v>35.97</v>
      </c>
    </row>
    <row r="391" spans="1:1" x14ac:dyDescent="0.35">
      <c r="A391" s="6">
        <v>35.97</v>
      </c>
    </row>
    <row r="392" spans="1:1" x14ac:dyDescent="0.35">
      <c r="A392" s="6">
        <v>35.89</v>
      </c>
    </row>
    <row r="393" spans="1:1" x14ac:dyDescent="0.35">
      <c r="A393" s="6">
        <v>35.18</v>
      </c>
    </row>
    <row r="394" spans="1:1" x14ac:dyDescent="0.35">
      <c r="A394" s="6">
        <v>35.159999999999997</v>
      </c>
    </row>
    <row r="395" spans="1:1" x14ac:dyDescent="0.35">
      <c r="A395" s="6">
        <v>34.99</v>
      </c>
    </row>
    <row r="396" spans="1:1" x14ac:dyDescent="0.35">
      <c r="A396" s="6">
        <v>34.979999999999997</v>
      </c>
    </row>
    <row r="397" spans="1:1" x14ac:dyDescent="0.35">
      <c r="A397" s="6">
        <v>34.49</v>
      </c>
    </row>
    <row r="398" spans="1:1" x14ac:dyDescent="0.35">
      <c r="A398" s="6">
        <v>34.369999999999997</v>
      </c>
    </row>
    <row r="399" spans="1:1" x14ac:dyDescent="0.35">
      <c r="A399" s="6">
        <v>33.96</v>
      </c>
    </row>
    <row r="400" spans="1:1" x14ac:dyDescent="0.35">
      <c r="A400" s="6">
        <v>33.56</v>
      </c>
    </row>
    <row r="401" spans="1:1" x14ac:dyDescent="0.35">
      <c r="A401" s="6">
        <v>33.17</v>
      </c>
    </row>
    <row r="402" spans="1:1" x14ac:dyDescent="0.35">
      <c r="A402" s="6">
        <v>32.96</v>
      </c>
    </row>
    <row r="403" spans="1:1" x14ac:dyDescent="0.35">
      <c r="A403" s="6">
        <v>32.78</v>
      </c>
    </row>
    <row r="404" spans="1:1" x14ac:dyDescent="0.35">
      <c r="A404" s="6">
        <v>32.76</v>
      </c>
    </row>
    <row r="405" spans="1:1" x14ac:dyDescent="0.35">
      <c r="A405" s="6">
        <v>31.98</v>
      </c>
    </row>
    <row r="406" spans="1:1" x14ac:dyDescent="0.35">
      <c r="A406" s="6">
        <v>31.98</v>
      </c>
    </row>
    <row r="407" spans="1:1" x14ac:dyDescent="0.35">
      <c r="A407" s="6">
        <v>31.97</v>
      </c>
    </row>
    <row r="408" spans="1:1" x14ac:dyDescent="0.35">
      <c r="A408" s="6">
        <v>31.97</v>
      </c>
    </row>
    <row r="409" spans="1:1" x14ac:dyDescent="0.35">
      <c r="A409" s="6">
        <v>31.18</v>
      </c>
    </row>
    <row r="410" spans="1:1" x14ac:dyDescent="0.35">
      <c r="A410" s="6">
        <v>31.18</v>
      </c>
    </row>
    <row r="411" spans="1:1" x14ac:dyDescent="0.35">
      <c r="A411" s="6">
        <v>30.75</v>
      </c>
    </row>
    <row r="412" spans="1:1" x14ac:dyDescent="0.35">
      <c r="A412" s="6">
        <v>30.72</v>
      </c>
    </row>
    <row r="413" spans="1:1" x14ac:dyDescent="0.35">
      <c r="A413" s="6">
        <v>30.39</v>
      </c>
    </row>
    <row r="414" spans="1:1" x14ac:dyDescent="0.35">
      <c r="A414" s="6">
        <v>30.39</v>
      </c>
    </row>
    <row r="415" spans="1:1" x14ac:dyDescent="0.35">
      <c r="A415" s="6">
        <v>30.39</v>
      </c>
    </row>
    <row r="416" spans="1:1" x14ac:dyDescent="0.35">
      <c r="A416" s="6">
        <v>30.39</v>
      </c>
    </row>
    <row r="417" spans="1:1" x14ac:dyDescent="0.35">
      <c r="A417" s="6">
        <v>30.39</v>
      </c>
    </row>
    <row r="418" spans="1:1" x14ac:dyDescent="0.35">
      <c r="A418" s="6">
        <v>30.38</v>
      </c>
    </row>
    <row r="419" spans="1:1" x14ac:dyDescent="0.35">
      <c r="A419" s="6">
        <v>30.38</v>
      </c>
    </row>
    <row r="420" spans="1:1" x14ac:dyDescent="0.35">
      <c r="A420" s="6">
        <v>30.38</v>
      </c>
    </row>
    <row r="421" spans="1:1" x14ac:dyDescent="0.35">
      <c r="A421" s="6">
        <v>29.98</v>
      </c>
    </row>
    <row r="422" spans="1:1" x14ac:dyDescent="0.35">
      <c r="A422" s="6">
        <v>29.98</v>
      </c>
    </row>
    <row r="423" spans="1:1" x14ac:dyDescent="0.35">
      <c r="A423" s="6">
        <v>29.9</v>
      </c>
    </row>
    <row r="424" spans="1:1" x14ac:dyDescent="0.35">
      <c r="A424" s="6">
        <v>29.58</v>
      </c>
    </row>
    <row r="425" spans="1:1" x14ac:dyDescent="0.35">
      <c r="A425" s="6">
        <v>28.98</v>
      </c>
    </row>
    <row r="426" spans="1:1" x14ac:dyDescent="0.35">
      <c r="A426" s="6">
        <v>28.98</v>
      </c>
    </row>
    <row r="427" spans="1:1" x14ac:dyDescent="0.35">
      <c r="A427" s="6">
        <v>28.9</v>
      </c>
    </row>
    <row r="428" spans="1:1" x14ac:dyDescent="0.35">
      <c r="A428" s="6">
        <v>28.78</v>
      </c>
    </row>
    <row r="429" spans="1:1" x14ac:dyDescent="0.35">
      <c r="A429" s="6">
        <v>28.78</v>
      </c>
    </row>
    <row r="430" spans="1:1" x14ac:dyDescent="0.35">
      <c r="A430" s="6">
        <v>28.76</v>
      </c>
    </row>
    <row r="431" spans="1:1" x14ac:dyDescent="0.35">
      <c r="A431" s="6">
        <v>27.98</v>
      </c>
    </row>
    <row r="432" spans="1:1" x14ac:dyDescent="0.35">
      <c r="A432" s="6">
        <v>27.97</v>
      </c>
    </row>
    <row r="433" spans="1:1" x14ac:dyDescent="0.35">
      <c r="A433" s="6">
        <v>27.96</v>
      </c>
    </row>
    <row r="434" spans="1:1" x14ac:dyDescent="0.35">
      <c r="A434" s="6">
        <v>27.85</v>
      </c>
    </row>
    <row r="435" spans="1:1" x14ac:dyDescent="0.35">
      <c r="A435" s="6">
        <v>27.19</v>
      </c>
    </row>
    <row r="436" spans="1:1" x14ac:dyDescent="0.35">
      <c r="A436" s="6">
        <v>27.19</v>
      </c>
    </row>
    <row r="437" spans="1:1" x14ac:dyDescent="0.35">
      <c r="A437" s="6">
        <v>27.18</v>
      </c>
    </row>
    <row r="438" spans="1:1" x14ac:dyDescent="0.35">
      <c r="A438" s="6">
        <v>27.18</v>
      </c>
    </row>
    <row r="439" spans="1:1" x14ac:dyDescent="0.35">
      <c r="A439" s="6">
        <v>27.18</v>
      </c>
    </row>
    <row r="440" spans="1:1" x14ac:dyDescent="0.35">
      <c r="A440" s="6">
        <v>27.18</v>
      </c>
    </row>
    <row r="441" spans="1:1" x14ac:dyDescent="0.35">
      <c r="A441" s="6">
        <v>27.18</v>
      </c>
    </row>
    <row r="442" spans="1:1" x14ac:dyDescent="0.35">
      <c r="A442" s="6">
        <v>27.18</v>
      </c>
    </row>
    <row r="443" spans="1:1" x14ac:dyDescent="0.35">
      <c r="A443" s="6">
        <v>26.98</v>
      </c>
    </row>
    <row r="444" spans="1:1" x14ac:dyDescent="0.35">
      <c r="A444" s="6">
        <v>26.98</v>
      </c>
    </row>
    <row r="445" spans="1:1" x14ac:dyDescent="0.35">
      <c r="A445" s="6">
        <v>26.37</v>
      </c>
    </row>
    <row r="446" spans="1:1" x14ac:dyDescent="0.35">
      <c r="A446" s="6">
        <v>26.37</v>
      </c>
    </row>
    <row r="447" spans="1:1" x14ac:dyDescent="0.35">
      <c r="A447" s="6">
        <v>26.31</v>
      </c>
    </row>
    <row r="448" spans="1:1" x14ac:dyDescent="0.35">
      <c r="A448" s="6">
        <v>25.98</v>
      </c>
    </row>
    <row r="449" spans="1:1" x14ac:dyDescent="0.35">
      <c r="A449" s="6">
        <v>25.98</v>
      </c>
    </row>
    <row r="450" spans="1:1" x14ac:dyDescent="0.35">
      <c r="A450" s="6">
        <v>25.54</v>
      </c>
    </row>
    <row r="451" spans="1:1" x14ac:dyDescent="0.35">
      <c r="A451" s="6">
        <v>25.48</v>
      </c>
    </row>
    <row r="452" spans="1:1" x14ac:dyDescent="0.35">
      <c r="A452" s="6">
        <v>25.47</v>
      </c>
    </row>
    <row r="453" spans="1:1" x14ac:dyDescent="0.35">
      <c r="A453" s="6">
        <v>25</v>
      </c>
    </row>
    <row r="454" spans="1:1" x14ac:dyDescent="0.35">
      <c r="A454" s="6">
        <v>24.99</v>
      </c>
    </row>
    <row r="455" spans="1:1" x14ac:dyDescent="0.35">
      <c r="A455" s="6">
        <v>24.99</v>
      </c>
    </row>
    <row r="456" spans="1:1" x14ac:dyDescent="0.35">
      <c r="A456" s="6">
        <v>24.99</v>
      </c>
    </row>
    <row r="457" spans="1:1" x14ac:dyDescent="0.35">
      <c r="A457" s="6">
        <v>24.99</v>
      </c>
    </row>
    <row r="458" spans="1:1" x14ac:dyDescent="0.35">
      <c r="A458" s="6">
        <v>24.99</v>
      </c>
    </row>
    <row r="459" spans="1:1" x14ac:dyDescent="0.35">
      <c r="A459" s="6">
        <v>24.99</v>
      </c>
    </row>
    <row r="460" spans="1:1" x14ac:dyDescent="0.35">
      <c r="A460" s="6">
        <v>24.47</v>
      </c>
    </row>
    <row r="461" spans="1:1" x14ac:dyDescent="0.35">
      <c r="A461" s="6">
        <v>23.99</v>
      </c>
    </row>
    <row r="462" spans="1:1" x14ac:dyDescent="0.35">
      <c r="A462" s="6">
        <v>23.99</v>
      </c>
    </row>
    <row r="463" spans="1:1" x14ac:dyDescent="0.35">
      <c r="A463" s="6">
        <v>23.98</v>
      </c>
    </row>
    <row r="464" spans="1:1" x14ac:dyDescent="0.35">
      <c r="A464" s="6">
        <v>23.97</v>
      </c>
    </row>
    <row r="465" spans="1:1" x14ac:dyDescent="0.35">
      <c r="A465" s="6">
        <v>23.95</v>
      </c>
    </row>
    <row r="466" spans="1:1" x14ac:dyDescent="0.35">
      <c r="A466" s="6">
        <v>23.95</v>
      </c>
    </row>
    <row r="467" spans="1:1" x14ac:dyDescent="0.35">
      <c r="A467" s="6">
        <v>23.9</v>
      </c>
    </row>
    <row r="468" spans="1:1" x14ac:dyDescent="0.35">
      <c r="A468" s="6">
        <v>23.18</v>
      </c>
    </row>
    <row r="469" spans="1:1" x14ac:dyDescent="0.35">
      <c r="A469" s="6">
        <v>23.18</v>
      </c>
    </row>
    <row r="470" spans="1:1" x14ac:dyDescent="0.35">
      <c r="A470" s="6">
        <v>22.97</v>
      </c>
    </row>
    <row r="471" spans="1:1" x14ac:dyDescent="0.35">
      <c r="A471" s="6">
        <v>22.97</v>
      </c>
    </row>
    <row r="472" spans="1:1" x14ac:dyDescent="0.35">
      <c r="A472" s="6">
        <v>22.47</v>
      </c>
    </row>
    <row r="473" spans="1:1" x14ac:dyDescent="0.35">
      <c r="A473" s="6">
        <v>22.4</v>
      </c>
    </row>
    <row r="474" spans="1:1" x14ac:dyDescent="0.35">
      <c r="A474" s="6">
        <v>22.38</v>
      </c>
    </row>
    <row r="475" spans="1:1" x14ac:dyDescent="0.35">
      <c r="A475" s="6">
        <v>22.38</v>
      </c>
    </row>
    <row r="476" spans="1:1" x14ac:dyDescent="0.35">
      <c r="A476" s="6">
        <v>21.99</v>
      </c>
    </row>
    <row r="477" spans="1:1" x14ac:dyDescent="0.35">
      <c r="A477" s="6">
        <v>21.56</v>
      </c>
    </row>
    <row r="478" spans="1:1" x14ac:dyDescent="0.35">
      <c r="A478" s="6">
        <v>20.98</v>
      </c>
    </row>
    <row r="479" spans="1:1" x14ac:dyDescent="0.35">
      <c r="A479" s="6">
        <v>20.98</v>
      </c>
    </row>
    <row r="480" spans="1:1" x14ac:dyDescent="0.35">
      <c r="A480" s="6">
        <v>20.98</v>
      </c>
    </row>
    <row r="481" spans="1:1" x14ac:dyDescent="0.35">
      <c r="A481" s="6">
        <v>20.98</v>
      </c>
    </row>
    <row r="482" spans="1:1" x14ac:dyDescent="0.35">
      <c r="A482" s="6">
        <v>20.98</v>
      </c>
    </row>
    <row r="483" spans="1:1" x14ac:dyDescent="0.35">
      <c r="A483" s="6">
        <v>20.98</v>
      </c>
    </row>
    <row r="484" spans="1:1" x14ac:dyDescent="0.35">
      <c r="A484" s="6">
        <v>20.98</v>
      </c>
    </row>
    <row r="485" spans="1:1" x14ac:dyDescent="0.35">
      <c r="A485" s="6">
        <v>20.93</v>
      </c>
    </row>
    <row r="486" spans="1:1" x14ac:dyDescent="0.35">
      <c r="A486" s="6">
        <v>20.78</v>
      </c>
    </row>
    <row r="487" spans="1:1" x14ac:dyDescent="0.35">
      <c r="A487" s="6">
        <v>19.989999999999998</v>
      </c>
    </row>
    <row r="488" spans="1:1" x14ac:dyDescent="0.35">
      <c r="A488" s="6">
        <v>19.989999999999998</v>
      </c>
    </row>
    <row r="489" spans="1:1" x14ac:dyDescent="0.35">
      <c r="A489" s="6">
        <v>19.989999999999998</v>
      </c>
    </row>
    <row r="490" spans="1:1" x14ac:dyDescent="0.35">
      <c r="A490" s="6">
        <v>19.989999999999998</v>
      </c>
    </row>
    <row r="491" spans="1:1" x14ac:dyDescent="0.35">
      <c r="A491" s="6">
        <v>19.989999999999998</v>
      </c>
    </row>
    <row r="492" spans="1:1" x14ac:dyDescent="0.35">
      <c r="A492" s="6">
        <v>19.989999999999998</v>
      </c>
    </row>
    <row r="493" spans="1:1" x14ac:dyDescent="0.35">
      <c r="A493" s="6">
        <v>19.989999999999998</v>
      </c>
    </row>
    <row r="494" spans="1:1" x14ac:dyDescent="0.35">
      <c r="A494" s="6">
        <v>19.989999999999998</v>
      </c>
    </row>
    <row r="495" spans="1:1" x14ac:dyDescent="0.35">
      <c r="A495" s="6">
        <v>19.989999999999998</v>
      </c>
    </row>
    <row r="496" spans="1:1" x14ac:dyDescent="0.35">
      <c r="A496" s="6">
        <v>19.989999999999998</v>
      </c>
    </row>
    <row r="497" spans="1:1" x14ac:dyDescent="0.35">
      <c r="A497" s="6">
        <v>19.989999999999998</v>
      </c>
    </row>
    <row r="498" spans="1:1" x14ac:dyDescent="0.35">
      <c r="A498" s="6">
        <v>19.989999999999998</v>
      </c>
    </row>
    <row r="499" spans="1:1" x14ac:dyDescent="0.35">
      <c r="A499" s="6">
        <v>19.97</v>
      </c>
    </row>
    <row r="500" spans="1:1" x14ac:dyDescent="0.35">
      <c r="A500" s="6">
        <v>19.96</v>
      </c>
    </row>
    <row r="501" spans="1:1" x14ac:dyDescent="0.35">
      <c r="A501" s="6">
        <v>19.96</v>
      </c>
    </row>
    <row r="502" spans="1:1" x14ac:dyDescent="0.35">
      <c r="A502" s="6">
        <v>19.96</v>
      </c>
    </row>
    <row r="503" spans="1:1" x14ac:dyDescent="0.35">
      <c r="A503" s="6">
        <v>19.190000000000001</v>
      </c>
    </row>
    <row r="504" spans="1:1" x14ac:dyDescent="0.35">
      <c r="A504" s="6">
        <v>19.190000000000001</v>
      </c>
    </row>
    <row r="505" spans="1:1" x14ac:dyDescent="0.35">
      <c r="A505" s="6">
        <v>19.190000000000001</v>
      </c>
    </row>
    <row r="506" spans="1:1" x14ac:dyDescent="0.35">
      <c r="A506" s="6">
        <v>19.190000000000001</v>
      </c>
    </row>
    <row r="507" spans="1:1" x14ac:dyDescent="0.35">
      <c r="A507" s="6">
        <v>19.18</v>
      </c>
    </row>
    <row r="508" spans="1:1" x14ac:dyDescent="0.35">
      <c r="A508" s="6">
        <v>18.989999999999998</v>
      </c>
    </row>
    <row r="509" spans="1:1" x14ac:dyDescent="0.35">
      <c r="A509" s="6">
        <v>18.989999999999998</v>
      </c>
    </row>
    <row r="510" spans="1:1" x14ac:dyDescent="0.35">
      <c r="A510" s="6">
        <v>18.989999999999998</v>
      </c>
    </row>
    <row r="511" spans="1:1" x14ac:dyDescent="0.35">
      <c r="A511" s="6">
        <v>18.989999999999998</v>
      </c>
    </row>
    <row r="512" spans="1:1" x14ac:dyDescent="0.35">
      <c r="A512" s="6">
        <v>18.989999999999998</v>
      </c>
    </row>
    <row r="513" spans="1:1" x14ac:dyDescent="0.35">
      <c r="A513" s="6">
        <v>18.989999999999998</v>
      </c>
    </row>
    <row r="514" spans="1:1" x14ac:dyDescent="0.35">
      <c r="A514" s="6">
        <v>18.989999999999998</v>
      </c>
    </row>
    <row r="515" spans="1:1" x14ac:dyDescent="0.35">
      <c r="A515" s="6">
        <v>18.98</v>
      </c>
    </row>
    <row r="516" spans="1:1" x14ac:dyDescent="0.35">
      <c r="A516" s="6">
        <v>18.98</v>
      </c>
    </row>
    <row r="517" spans="1:1" x14ac:dyDescent="0.35">
      <c r="A517" s="6">
        <v>18.95</v>
      </c>
    </row>
    <row r="518" spans="1:1" x14ac:dyDescent="0.35">
      <c r="A518" s="6">
        <v>18.39</v>
      </c>
    </row>
    <row r="519" spans="1:1" x14ac:dyDescent="0.35">
      <c r="A519" s="6">
        <v>17.989999999999998</v>
      </c>
    </row>
    <row r="520" spans="1:1" x14ac:dyDescent="0.35">
      <c r="A520" s="6">
        <v>17.59</v>
      </c>
    </row>
    <row r="521" spans="1:1" x14ac:dyDescent="0.35">
      <c r="A521" s="6">
        <v>17.59</v>
      </c>
    </row>
    <row r="522" spans="1:1" x14ac:dyDescent="0.35">
      <c r="A522" s="6">
        <v>17.59</v>
      </c>
    </row>
    <row r="523" spans="1:1" x14ac:dyDescent="0.35">
      <c r="A523" s="6">
        <v>17.59</v>
      </c>
    </row>
    <row r="524" spans="1:1" x14ac:dyDescent="0.35">
      <c r="A524" s="6">
        <v>17.579999999999998</v>
      </c>
    </row>
    <row r="525" spans="1:1" x14ac:dyDescent="0.35">
      <c r="A525" s="6">
        <v>16.989999999999998</v>
      </c>
    </row>
    <row r="526" spans="1:1" x14ac:dyDescent="0.35">
      <c r="A526" s="6">
        <v>16.989999999999998</v>
      </c>
    </row>
    <row r="527" spans="1:1" x14ac:dyDescent="0.35">
      <c r="A527" s="6">
        <v>16.989999999999998</v>
      </c>
    </row>
    <row r="528" spans="1:1" x14ac:dyDescent="0.35">
      <c r="A528" s="6">
        <v>16.989999999999998</v>
      </c>
    </row>
    <row r="529" spans="1:1" x14ac:dyDescent="0.35">
      <c r="A529" s="6">
        <v>16.989999999999998</v>
      </c>
    </row>
    <row r="530" spans="1:1" x14ac:dyDescent="0.35">
      <c r="A530" s="6">
        <v>16.989999999999998</v>
      </c>
    </row>
    <row r="531" spans="1:1" x14ac:dyDescent="0.35">
      <c r="A531" s="6">
        <v>16.989999999999998</v>
      </c>
    </row>
    <row r="532" spans="1:1" x14ac:dyDescent="0.35">
      <c r="A532" s="6">
        <v>16.989999999999998</v>
      </c>
    </row>
    <row r="533" spans="1:1" x14ac:dyDescent="0.35">
      <c r="A533" s="6">
        <v>16.989999999999998</v>
      </c>
    </row>
    <row r="534" spans="1:1" x14ac:dyDescent="0.35">
      <c r="A534" s="6">
        <v>16.98</v>
      </c>
    </row>
    <row r="535" spans="1:1" x14ac:dyDescent="0.35">
      <c r="A535" s="6">
        <v>16.97</v>
      </c>
    </row>
    <row r="536" spans="1:1" x14ac:dyDescent="0.35">
      <c r="A536" s="6">
        <v>16.5</v>
      </c>
    </row>
    <row r="537" spans="1:1" x14ac:dyDescent="0.35">
      <c r="A537" s="6">
        <v>16.46</v>
      </c>
    </row>
    <row r="538" spans="1:1" x14ac:dyDescent="0.35">
      <c r="A538" s="6">
        <v>15.99</v>
      </c>
    </row>
    <row r="539" spans="1:1" x14ac:dyDescent="0.35">
      <c r="A539" s="6">
        <v>15.99</v>
      </c>
    </row>
    <row r="540" spans="1:1" x14ac:dyDescent="0.35">
      <c r="A540" s="6">
        <v>15.99</v>
      </c>
    </row>
    <row r="541" spans="1:1" x14ac:dyDescent="0.35">
      <c r="A541" s="6">
        <v>15.99</v>
      </c>
    </row>
    <row r="542" spans="1:1" x14ac:dyDescent="0.35">
      <c r="A542" s="6">
        <v>15.99</v>
      </c>
    </row>
    <row r="543" spans="1:1" x14ac:dyDescent="0.35">
      <c r="A543" s="6">
        <v>15.99</v>
      </c>
    </row>
    <row r="544" spans="1:1" x14ac:dyDescent="0.35">
      <c r="A544" s="6">
        <v>15.99</v>
      </c>
    </row>
    <row r="545" spans="1:1" x14ac:dyDescent="0.35">
      <c r="A545" s="6">
        <v>15.96</v>
      </c>
    </row>
    <row r="546" spans="1:1" x14ac:dyDescent="0.35">
      <c r="A546" s="6">
        <v>15.19</v>
      </c>
    </row>
    <row r="547" spans="1:1" x14ac:dyDescent="0.35">
      <c r="A547" s="6">
        <v>15.19</v>
      </c>
    </row>
    <row r="548" spans="1:1" x14ac:dyDescent="0.35">
      <c r="A548" s="6">
        <v>15.19</v>
      </c>
    </row>
    <row r="549" spans="1:1" x14ac:dyDescent="0.35">
      <c r="A549" s="6">
        <v>15.19</v>
      </c>
    </row>
    <row r="550" spans="1:1" x14ac:dyDescent="0.35">
      <c r="A550" s="6">
        <v>15.19</v>
      </c>
    </row>
    <row r="551" spans="1:1" x14ac:dyDescent="0.35">
      <c r="A551" s="6">
        <v>15.19</v>
      </c>
    </row>
    <row r="552" spans="1:1" x14ac:dyDescent="0.35">
      <c r="A552" s="6">
        <v>15.19</v>
      </c>
    </row>
    <row r="553" spans="1:1" x14ac:dyDescent="0.35">
      <c r="A553" s="6">
        <v>15.19</v>
      </c>
    </row>
    <row r="554" spans="1:1" x14ac:dyDescent="0.35">
      <c r="A554" s="6">
        <v>15.19</v>
      </c>
    </row>
    <row r="555" spans="1:1" x14ac:dyDescent="0.35">
      <c r="A555" s="6">
        <v>15.18</v>
      </c>
    </row>
    <row r="556" spans="1:1" x14ac:dyDescent="0.35">
      <c r="A556" s="6">
        <v>14.38</v>
      </c>
    </row>
    <row r="557" spans="1:1" x14ac:dyDescent="0.35">
      <c r="A557" s="6">
        <v>14.37</v>
      </c>
    </row>
    <row r="558" spans="1:1" x14ac:dyDescent="0.35">
      <c r="A558" s="6">
        <v>14.34</v>
      </c>
    </row>
    <row r="559" spans="1:1" x14ac:dyDescent="0.35">
      <c r="A559" s="6">
        <v>13.99</v>
      </c>
    </row>
    <row r="560" spans="1:1" x14ac:dyDescent="0.35">
      <c r="A560" s="6">
        <v>13.98</v>
      </c>
    </row>
    <row r="561" spans="1:1" x14ac:dyDescent="0.35">
      <c r="A561" s="6">
        <v>13.59</v>
      </c>
    </row>
    <row r="562" spans="1:1" x14ac:dyDescent="0.35">
      <c r="A562" s="6">
        <v>13.59</v>
      </c>
    </row>
    <row r="563" spans="1:1" x14ac:dyDescent="0.35">
      <c r="A563" s="6">
        <v>13.59</v>
      </c>
    </row>
    <row r="564" spans="1:1" x14ac:dyDescent="0.35">
      <c r="A564" s="6">
        <v>13.59</v>
      </c>
    </row>
    <row r="565" spans="1:1" x14ac:dyDescent="0.35">
      <c r="A565" s="6">
        <v>13.59</v>
      </c>
    </row>
    <row r="566" spans="1:1" x14ac:dyDescent="0.35">
      <c r="A566" s="6">
        <v>13.59</v>
      </c>
    </row>
    <row r="567" spans="1:1" x14ac:dyDescent="0.35">
      <c r="A567" s="6">
        <v>13.59</v>
      </c>
    </row>
    <row r="568" spans="1:1" x14ac:dyDescent="0.35">
      <c r="A568" s="6">
        <v>13.59</v>
      </c>
    </row>
    <row r="569" spans="1:1" x14ac:dyDescent="0.35">
      <c r="A569" s="6">
        <v>13.59</v>
      </c>
    </row>
    <row r="570" spans="1:1" x14ac:dyDescent="0.35">
      <c r="A570" s="6">
        <v>12.99</v>
      </c>
    </row>
    <row r="571" spans="1:1" x14ac:dyDescent="0.35">
      <c r="A571" s="6">
        <v>11.99</v>
      </c>
    </row>
    <row r="572" spans="1:1" x14ac:dyDescent="0.35">
      <c r="A572" s="6">
        <v>11.98</v>
      </c>
    </row>
    <row r="573" spans="1:1" x14ac:dyDescent="0.35">
      <c r="A573" s="6">
        <v>11.96</v>
      </c>
    </row>
    <row r="574" spans="1:1" x14ac:dyDescent="0.35">
      <c r="A574" s="6">
        <v>11.2</v>
      </c>
    </row>
    <row r="575" spans="1:1" x14ac:dyDescent="0.35">
      <c r="A575" s="6">
        <v>11.19</v>
      </c>
    </row>
    <row r="576" spans="1:1" x14ac:dyDescent="0.35">
      <c r="A576" s="6">
        <v>11.18</v>
      </c>
    </row>
    <row r="577" spans="1:1" x14ac:dyDescent="0.35">
      <c r="A577" s="6">
        <v>11.18</v>
      </c>
    </row>
    <row r="578" spans="1:1" x14ac:dyDescent="0.35">
      <c r="A578" s="6">
        <v>10.99</v>
      </c>
    </row>
    <row r="579" spans="1:1" x14ac:dyDescent="0.35">
      <c r="A579" s="6">
        <v>10.99</v>
      </c>
    </row>
    <row r="580" spans="1:1" x14ac:dyDescent="0.35">
      <c r="A580" s="6">
        <v>10.98</v>
      </c>
    </row>
    <row r="581" spans="1:1" x14ac:dyDescent="0.35">
      <c r="A581" s="6">
        <v>10.97</v>
      </c>
    </row>
    <row r="582" spans="1:1" x14ac:dyDescent="0.35">
      <c r="A582" s="6">
        <v>10.97</v>
      </c>
    </row>
    <row r="583" spans="1:1" x14ac:dyDescent="0.35">
      <c r="A583" s="6">
        <v>10.39</v>
      </c>
    </row>
    <row r="584" spans="1:1" x14ac:dyDescent="0.35">
      <c r="A584" s="6">
        <v>10.38</v>
      </c>
    </row>
    <row r="585" spans="1:1" x14ac:dyDescent="0.35">
      <c r="A585" s="6">
        <v>9.5500000000000007</v>
      </c>
    </row>
    <row r="586" spans="1:1" x14ac:dyDescent="0.35">
      <c r="A586" s="6">
        <v>9.5500000000000007</v>
      </c>
    </row>
    <row r="587" spans="1:1" x14ac:dyDescent="0.35">
      <c r="A587" s="6">
        <v>8.98</v>
      </c>
    </row>
    <row r="588" spans="1:1" x14ac:dyDescent="0.35">
      <c r="A588" s="6">
        <v>7.99</v>
      </c>
    </row>
    <row r="589" spans="1:1" x14ac:dyDescent="0.35">
      <c r="A589" s="6">
        <v>7.98</v>
      </c>
    </row>
    <row r="590" spans="1:1" x14ac:dyDescent="0.35">
      <c r="A590" s="6">
        <v>7.97</v>
      </c>
    </row>
    <row r="591" spans="1:1" x14ac:dyDescent="0.35">
      <c r="A591" s="6">
        <v>7.96</v>
      </c>
    </row>
    <row r="592" spans="1:1" x14ac:dyDescent="0.35">
      <c r="A592" s="6">
        <v>7.96</v>
      </c>
    </row>
    <row r="593" spans="1:1" x14ac:dyDescent="0.35">
      <c r="A593" s="6">
        <v>6.99</v>
      </c>
    </row>
    <row r="594" spans="1:1" x14ac:dyDescent="0.35">
      <c r="A594" s="6">
        <v>6.99</v>
      </c>
    </row>
    <row r="595" spans="1:1" x14ac:dyDescent="0.35">
      <c r="A595" s="6">
        <v>6.98</v>
      </c>
    </row>
    <row r="596" spans="1:1" x14ac:dyDescent="0.35">
      <c r="A596" s="6">
        <v>6.97</v>
      </c>
    </row>
    <row r="597" spans="1:1" x14ac:dyDescent="0.35">
      <c r="A597" s="6">
        <v>6.49</v>
      </c>
    </row>
    <row r="598" spans="1:1" x14ac:dyDescent="0.35">
      <c r="A598" s="6">
        <v>5.98</v>
      </c>
    </row>
    <row r="599" spans="1:1" x14ac:dyDescent="0.35">
      <c r="A599" s="6">
        <v>5.59</v>
      </c>
    </row>
    <row r="600" spans="1:1" x14ac:dyDescent="0.35">
      <c r="A600" s="6">
        <v>5.5</v>
      </c>
    </row>
    <row r="601" spans="1:1" x14ac:dyDescent="0.35">
      <c r="A601" s="6">
        <v>5.48</v>
      </c>
    </row>
    <row r="602" spans="1:1" x14ac:dyDescent="0.35">
      <c r="A602" s="6">
        <v>3.98</v>
      </c>
    </row>
    <row r="603" spans="1:1" x14ac:dyDescent="0.35">
      <c r="A603" s="6">
        <v>3.98</v>
      </c>
    </row>
    <row r="604" spans="1:1" x14ac:dyDescent="0.35">
      <c r="A604" s="6">
        <v>3.98</v>
      </c>
    </row>
    <row r="605" spans="1:1" x14ac:dyDescent="0.35">
      <c r="A605" s="6">
        <v>3.96</v>
      </c>
    </row>
    <row r="606" spans="1:1" x14ac:dyDescent="0.35">
      <c r="A606" s="6">
        <v>3.59</v>
      </c>
    </row>
    <row r="607" spans="1:1" x14ac:dyDescent="0.35">
      <c r="A607" s="6">
        <v>3.5</v>
      </c>
    </row>
    <row r="608" spans="1:1" x14ac:dyDescent="0.35">
      <c r="A608" s="6">
        <v>3.5</v>
      </c>
    </row>
    <row r="609" spans="1:1" x14ac:dyDescent="0.35">
      <c r="A609" s="6">
        <v>3.5</v>
      </c>
    </row>
    <row r="610" spans="1:1" x14ac:dyDescent="0.35">
      <c r="A610" s="6">
        <v>3.5</v>
      </c>
    </row>
    <row r="611" spans="1:1" x14ac:dyDescent="0.35">
      <c r="A611" s="6">
        <v>1.99</v>
      </c>
    </row>
    <row r="612" spans="1:1" x14ac:dyDescent="0.35">
      <c r="A612" s="6">
        <v>1.99</v>
      </c>
    </row>
    <row r="613" spans="1:1" x14ac:dyDescent="0.35">
      <c r="A613" s="6">
        <v>1.99</v>
      </c>
    </row>
    <row r="614" spans="1:1" x14ac:dyDescent="0.35">
      <c r="A614" s="6">
        <v>1.99</v>
      </c>
    </row>
    <row r="615" spans="1:1" x14ac:dyDescent="0.35">
      <c r="A615" s="6">
        <v>1.99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3B69-C9A7-4D2D-B4F3-CFF29EA6C163}">
  <dimension ref="A1:E689"/>
  <sheetViews>
    <sheetView topLeftCell="A681" workbookViewId="0">
      <selection activeCell="F620" sqref="F620"/>
    </sheetView>
  </sheetViews>
  <sheetFormatPr defaultRowHeight="14.5" x14ac:dyDescent="0.35"/>
  <cols>
    <col min="1" max="1" width="8.6328125" bestFit="1" customWidth="1"/>
    <col min="2" max="2" width="12.90625" bestFit="1" customWidth="1"/>
    <col min="3" max="3" width="10.81640625" bestFit="1" customWidth="1"/>
    <col min="4" max="4" width="13.54296875" bestFit="1" customWidth="1"/>
    <col min="5" max="5" width="13.7265625" bestFit="1" customWidth="1"/>
  </cols>
  <sheetData>
    <row r="1" spans="1:5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hidden="1" x14ac:dyDescent="0.35">
      <c r="A2" s="5" t="s">
        <v>24</v>
      </c>
      <c r="B2">
        <v>4.1324322787646326E+18</v>
      </c>
      <c r="C2">
        <v>1485880579</v>
      </c>
      <c r="D2">
        <v>2</v>
      </c>
      <c r="E2">
        <v>2485.9699999999998</v>
      </c>
    </row>
    <row r="3" spans="1:5" hidden="1" x14ac:dyDescent="0.35">
      <c r="A3" s="5" t="s">
        <v>24</v>
      </c>
      <c r="B3">
        <v>9.3383740069547602E+18</v>
      </c>
      <c r="C3">
        <v>1483637514</v>
      </c>
      <c r="D3">
        <v>1</v>
      </c>
      <c r="E3">
        <v>1942</v>
      </c>
    </row>
    <row r="4" spans="1:5" hidden="1" x14ac:dyDescent="0.35">
      <c r="A4" s="5" t="s">
        <v>24</v>
      </c>
      <c r="B4">
        <v>4.9843665011215032E+18</v>
      </c>
      <c r="C4">
        <v>1483653271</v>
      </c>
      <c r="D4">
        <v>1</v>
      </c>
      <c r="E4">
        <v>1633.42</v>
      </c>
    </row>
    <row r="5" spans="1:5" hidden="1" x14ac:dyDescent="0.35">
      <c r="A5" s="5" t="s">
        <v>24</v>
      </c>
      <c r="B5">
        <v>7.1172090377065841E+18</v>
      </c>
      <c r="C5">
        <v>1485564412</v>
      </c>
      <c r="D5">
        <v>1</v>
      </c>
      <c r="E5">
        <v>1534.41</v>
      </c>
    </row>
    <row r="6" spans="1:5" hidden="1" x14ac:dyDescent="0.35">
      <c r="A6" s="5" t="s">
        <v>24</v>
      </c>
      <c r="B6">
        <v>3.6978257900837171E+18</v>
      </c>
      <c r="C6">
        <v>1485299389</v>
      </c>
      <c r="D6">
        <v>1</v>
      </c>
      <c r="E6">
        <v>1519.81</v>
      </c>
    </row>
    <row r="7" spans="1:5" hidden="1" x14ac:dyDescent="0.35">
      <c r="A7" s="5" t="s">
        <v>24</v>
      </c>
      <c r="B7">
        <v>1.1310863288933738E+18</v>
      </c>
      <c r="C7">
        <v>1484776178</v>
      </c>
      <c r="D7">
        <v>1</v>
      </c>
      <c r="E7">
        <v>1498.5</v>
      </c>
    </row>
    <row r="8" spans="1:5" hidden="1" x14ac:dyDescent="0.35">
      <c r="A8" s="5" t="s">
        <v>24</v>
      </c>
      <c r="B8">
        <v>7.2844660255572204E+18</v>
      </c>
      <c r="C8">
        <v>1483670493</v>
      </c>
      <c r="D8">
        <v>1</v>
      </c>
      <c r="E8">
        <v>1421.55</v>
      </c>
    </row>
    <row r="9" spans="1:5" hidden="1" x14ac:dyDescent="0.35">
      <c r="A9" s="5" t="s">
        <v>24</v>
      </c>
      <c r="B9">
        <v>2.2081793401010294E+18</v>
      </c>
      <c r="C9">
        <v>1484774664</v>
      </c>
      <c r="D9">
        <v>1</v>
      </c>
      <c r="E9">
        <v>1350.7</v>
      </c>
    </row>
    <row r="10" spans="1:5" hidden="1" x14ac:dyDescent="0.35">
      <c r="A10" s="5" t="s">
        <v>24</v>
      </c>
      <c r="B10">
        <v>7.2665064256655503E+18</v>
      </c>
      <c r="C10">
        <v>1483985944</v>
      </c>
      <c r="D10">
        <v>1</v>
      </c>
      <c r="E10">
        <v>1308.5899999999999</v>
      </c>
    </row>
    <row r="11" spans="1:5" hidden="1" x14ac:dyDescent="0.35">
      <c r="A11" s="5" t="s">
        <v>24</v>
      </c>
      <c r="B11">
        <v>5.1340333050631738E+17</v>
      </c>
      <c r="C11">
        <v>1484058394</v>
      </c>
      <c r="D11">
        <v>1</v>
      </c>
      <c r="E11">
        <v>1272.45</v>
      </c>
    </row>
    <row r="12" spans="1:5" hidden="1" x14ac:dyDescent="0.35">
      <c r="A12" s="5" t="s">
        <v>24</v>
      </c>
      <c r="B12">
        <v>1.5571151794284304E+17</v>
      </c>
      <c r="C12">
        <v>1484012596</v>
      </c>
      <c r="D12">
        <v>1</v>
      </c>
      <c r="E12">
        <v>1245.5999999999999</v>
      </c>
    </row>
    <row r="13" spans="1:5" hidden="1" x14ac:dyDescent="0.35">
      <c r="A13" s="5" t="s">
        <v>24</v>
      </c>
      <c r="B13">
        <v>9.0891323922406881E+18</v>
      </c>
      <c r="C13">
        <v>1484067708</v>
      </c>
      <c r="D13">
        <v>1</v>
      </c>
      <c r="E13">
        <v>1229.56</v>
      </c>
    </row>
    <row r="14" spans="1:5" hidden="1" x14ac:dyDescent="0.35">
      <c r="A14" s="5" t="s">
        <v>24</v>
      </c>
      <c r="B14">
        <v>1.8141664602293028E+18</v>
      </c>
      <c r="C14">
        <v>1484275199</v>
      </c>
      <c r="D14">
        <v>1</v>
      </c>
      <c r="E14">
        <v>1190.8800000000001</v>
      </c>
    </row>
    <row r="15" spans="1:5" hidden="1" x14ac:dyDescent="0.35">
      <c r="A15" s="5" t="s">
        <v>24</v>
      </c>
      <c r="B15">
        <v>9.0891323922406881E+18</v>
      </c>
      <c r="C15">
        <v>1485737724</v>
      </c>
      <c r="D15">
        <v>1</v>
      </c>
      <c r="E15">
        <v>1157.8</v>
      </c>
    </row>
    <row r="16" spans="1:5" hidden="1" x14ac:dyDescent="0.35">
      <c r="A16" s="5" t="s">
        <v>24</v>
      </c>
      <c r="B16">
        <v>7.6383364114473329E+18</v>
      </c>
      <c r="C16">
        <v>1485447665</v>
      </c>
      <c r="D16">
        <v>2</v>
      </c>
      <c r="E16">
        <v>1077</v>
      </c>
    </row>
    <row r="17" spans="1:5" hidden="1" x14ac:dyDescent="0.35">
      <c r="A17" s="5" t="s">
        <v>24</v>
      </c>
      <c r="B17">
        <v>8.6371267649478492E+18</v>
      </c>
      <c r="C17">
        <v>1483642129</v>
      </c>
      <c r="D17">
        <v>1</v>
      </c>
      <c r="E17">
        <v>1019.5</v>
      </c>
    </row>
    <row r="18" spans="1:5" hidden="1" x14ac:dyDescent="0.35">
      <c r="A18" s="5" t="s">
        <v>24</v>
      </c>
      <c r="B18">
        <v>9.974232250427988E+18</v>
      </c>
      <c r="C18">
        <v>1483725863</v>
      </c>
      <c r="D18">
        <v>1</v>
      </c>
      <c r="E18">
        <v>994.65</v>
      </c>
    </row>
    <row r="19" spans="1:5" hidden="1" x14ac:dyDescent="0.35">
      <c r="A19" s="5" t="s">
        <v>24</v>
      </c>
      <c r="B19">
        <v>9.5194535984389345E+18</v>
      </c>
      <c r="C19">
        <v>1485117971</v>
      </c>
      <c r="D19">
        <v>1</v>
      </c>
      <c r="E19">
        <v>956.55</v>
      </c>
    </row>
    <row r="20" spans="1:5" hidden="1" x14ac:dyDescent="0.35">
      <c r="A20" s="5" t="s">
        <v>24</v>
      </c>
      <c r="B20">
        <v>7.3112428860838543E+18</v>
      </c>
      <c r="C20">
        <v>1484605745</v>
      </c>
      <c r="D20">
        <v>1</v>
      </c>
      <c r="E20">
        <v>920.16</v>
      </c>
    </row>
    <row r="21" spans="1:5" hidden="1" x14ac:dyDescent="0.35">
      <c r="A21" s="5" t="s">
        <v>24</v>
      </c>
      <c r="B21">
        <v>4.0768626355850337E+18</v>
      </c>
      <c r="C21">
        <v>1484077031</v>
      </c>
      <c r="D21">
        <v>1</v>
      </c>
      <c r="E21">
        <v>911.2</v>
      </c>
    </row>
    <row r="22" spans="1:5" hidden="1" x14ac:dyDescent="0.35">
      <c r="A22" s="5" t="s">
        <v>24</v>
      </c>
      <c r="B22">
        <v>4.387148615014505E+18</v>
      </c>
      <c r="C22">
        <v>1485275995</v>
      </c>
      <c r="D22">
        <v>1</v>
      </c>
      <c r="E22">
        <v>904.27</v>
      </c>
    </row>
    <row r="23" spans="1:5" hidden="1" x14ac:dyDescent="0.35">
      <c r="A23" s="5" t="s">
        <v>24</v>
      </c>
      <c r="B23">
        <v>6.147396474895234E+18</v>
      </c>
      <c r="C23">
        <v>1485879620</v>
      </c>
      <c r="D23">
        <v>1</v>
      </c>
      <c r="E23">
        <v>893.62</v>
      </c>
    </row>
    <row r="24" spans="1:5" hidden="1" x14ac:dyDescent="0.35">
      <c r="A24" s="5" t="s">
        <v>24</v>
      </c>
      <c r="B24">
        <v>9.0297942959329393E+18</v>
      </c>
      <c r="C24">
        <v>1484559404</v>
      </c>
      <c r="D24">
        <v>1</v>
      </c>
      <c r="E24">
        <v>888.57</v>
      </c>
    </row>
    <row r="25" spans="1:5" hidden="1" x14ac:dyDescent="0.35">
      <c r="A25" s="5" t="s">
        <v>24</v>
      </c>
      <c r="B25">
        <v>1.740516675967625E+18</v>
      </c>
      <c r="C25">
        <v>1484791498</v>
      </c>
      <c r="D25">
        <v>1</v>
      </c>
      <c r="E25">
        <v>878.9</v>
      </c>
    </row>
    <row r="26" spans="1:5" hidden="1" x14ac:dyDescent="0.35">
      <c r="A26" s="5" t="s">
        <v>24</v>
      </c>
      <c r="B26">
        <v>1.1987025971490597E+17</v>
      </c>
      <c r="C26">
        <v>1484074929</v>
      </c>
      <c r="D26">
        <v>1</v>
      </c>
      <c r="E26">
        <v>865.7</v>
      </c>
    </row>
    <row r="27" spans="1:5" hidden="1" x14ac:dyDescent="0.35">
      <c r="A27" s="5" t="s">
        <v>24</v>
      </c>
      <c r="B27">
        <v>4.6557159071933645E+18</v>
      </c>
      <c r="C27">
        <v>1485573654</v>
      </c>
      <c r="D27">
        <v>1</v>
      </c>
      <c r="E27">
        <v>803.44</v>
      </c>
    </row>
    <row r="28" spans="1:5" hidden="1" x14ac:dyDescent="0.35">
      <c r="A28" s="5" t="s">
        <v>24</v>
      </c>
      <c r="B28">
        <v>4.6777429718728212E+18</v>
      </c>
      <c r="C28">
        <v>1484927958</v>
      </c>
      <c r="D28">
        <v>1</v>
      </c>
      <c r="E28">
        <v>796.7</v>
      </c>
    </row>
    <row r="29" spans="1:5" hidden="1" x14ac:dyDescent="0.35">
      <c r="A29" s="5" t="s">
        <v>24</v>
      </c>
      <c r="B29">
        <v>9.4576430878782034E+18</v>
      </c>
      <c r="C29">
        <v>1483718050</v>
      </c>
      <c r="D29">
        <v>1</v>
      </c>
      <c r="E29">
        <v>796.35</v>
      </c>
    </row>
    <row r="30" spans="1:5" hidden="1" x14ac:dyDescent="0.35">
      <c r="A30" s="5" t="s">
        <v>24</v>
      </c>
      <c r="B30">
        <v>4.32606793105704E+17</v>
      </c>
      <c r="C30">
        <v>1485327772</v>
      </c>
      <c r="D30">
        <v>1</v>
      </c>
      <c r="E30">
        <v>701.8</v>
      </c>
    </row>
    <row r="31" spans="1:5" hidden="1" x14ac:dyDescent="0.35">
      <c r="A31" s="5" t="s">
        <v>24</v>
      </c>
      <c r="B31">
        <v>1.9909774463662198E+17</v>
      </c>
      <c r="C31">
        <v>1484701819</v>
      </c>
      <c r="D31">
        <v>1</v>
      </c>
      <c r="E31">
        <v>678.05</v>
      </c>
    </row>
    <row r="32" spans="1:5" hidden="1" x14ac:dyDescent="0.35">
      <c r="A32" s="5" t="s">
        <v>24</v>
      </c>
      <c r="B32">
        <v>8.8945266147609232E+16</v>
      </c>
      <c r="C32">
        <v>1483477140</v>
      </c>
      <c r="D32">
        <v>2</v>
      </c>
      <c r="E32">
        <v>673.87</v>
      </c>
    </row>
    <row r="33" spans="1:5" hidden="1" x14ac:dyDescent="0.35">
      <c r="A33" s="5" t="s">
        <v>24</v>
      </c>
      <c r="B33">
        <v>6.2139944312070953E+18</v>
      </c>
      <c r="C33">
        <v>1483471291</v>
      </c>
      <c r="D33">
        <v>1</v>
      </c>
      <c r="E33">
        <v>663.8</v>
      </c>
    </row>
    <row r="34" spans="1:5" hidden="1" x14ac:dyDescent="0.35">
      <c r="A34" s="5" t="s">
        <v>24</v>
      </c>
      <c r="B34">
        <v>3.7270614968886445E+17</v>
      </c>
      <c r="C34">
        <v>1484942330</v>
      </c>
      <c r="D34">
        <v>2</v>
      </c>
      <c r="E34">
        <v>612.29999999999995</v>
      </c>
    </row>
    <row r="35" spans="1:5" hidden="1" x14ac:dyDescent="0.35">
      <c r="A35" s="5" t="s">
        <v>24</v>
      </c>
      <c r="B35">
        <v>2.1198665000995328E+17</v>
      </c>
      <c r="C35">
        <v>1483568879</v>
      </c>
      <c r="D35">
        <v>1</v>
      </c>
      <c r="E35">
        <v>599.95000000000005</v>
      </c>
    </row>
    <row r="36" spans="1:5" hidden="1" x14ac:dyDescent="0.35">
      <c r="A36" s="5" t="s">
        <v>24</v>
      </c>
      <c r="B36">
        <v>7.168226225550508E+18</v>
      </c>
      <c r="C36">
        <v>1485452166</v>
      </c>
      <c r="D36">
        <v>1</v>
      </c>
      <c r="E36">
        <v>593.91</v>
      </c>
    </row>
    <row r="37" spans="1:5" hidden="1" x14ac:dyDescent="0.35">
      <c r="A37" s="5" t="s">
        <v>24</v>
      </c>
      <c r="B37">
        <v>3.4995719544270971E+18</v>
      </c>
      <c r="C37">
        <v>1484690576</v>
      </c>
      <c r="D37">
        <v>1</v>
      </c>
      <c r="E37">
        <v>587</v>
      </c>
    </row>
    <row r="38" spans="1:5" hidden="1" x14ac:dyDescent="0.35">
      <c r="A38" s="5" t="s">
        <v>24</v>
      </c>
      <c r="B38">
        <v>6.0102505984360858E+18</v>
      </c>
      <c r="C38">
        <v>1484752541</v>
      </c>
      <c r="D38">
        <v>1</v>
      </c>
      <c r="E38">
        <v>570.26</v>
      </c>
    </row>
    <row r="39" spans="1:5" hidden="1" x14ac:dyDescent="0.35">
      <c r="A39" s="5" t="s">
        <v>24</v>
      </c>
      <c r="B39">
        <v>3.1145736332402749E+18</v>
      </c>
      <c r="C39">
        <v>1484795003</v>
      </c>
      <c r="D39">
        <v>1</v>
      </c>
      <c r="E39">
        <v>567.03</v>
      </c>
    </row>
    <row r="40" spans="1:5" hidden="1" x14ac:dyDescent="0.35">
      <c r="A40" s="5" t="s">
        <v>24</v>
      </c>
      <c r="B40">
        <v>7.2929839537629798E+18</v>
      </c>
      <c r="C40">
        <v>1485893759</v>
      </c>
      <c r="D40">
        <v>1</v>
      </c>
      <c r="E40">
        <v>559</v>
      </c>
    </row>
    <row r="41" spans="1:5" hidden="1" x14ac:dyDescent="0.35">
      <c r="A41" s="5" t="s">
        <v>24</v>
      </c>
      <c r="B41">
        <v>1.7747566960671995E+18</v>
      </c>
      <c r="C41">
        <v>1483925055</v>
      </c>
      <c r="D41">
        <v>1</v>
      </c>
      <c r="E41">
        <v>558.85</v>
      </c>
    </row>
    <row r="42" spans="1:5" hidden="1" x14ac:dyDescent="0.35">
      <c r="A42" s="5" t="s">
        <v>24</v>
      </c>
      <c r="B42">
        <v>5.1795861071920599E+18</v>
      </c>
      <c r="C42">
        <v>1484342612</v>
      </c>
      <c r="D42">
        <v>1</v>
      </c>
      <c r="E42">
        <v>558.25</v>
      </c>
    </row>
    <row r="43" spans="1:5" hidden="1" x14ac:dyDescent="0.35">
      <c r="A43" s="5" t="s">
        <v>24</v>
      </c>
      <c r="B43">
        <v>8.4854213936525824E+18</v>
      </c>
      <c r="C43">
        <v>1485886991</v>
      </c>
      <c r="D43">
        <v>1</v>
      </c>
      <c r="E43">
        <v>548.39</v>
      </c>
    </row>
    <row r="44" spans="1:5" hidden="1" x14ac:dyDescent="0.35">
      <c r="A44" s="5" t="s">
        <v>24</v>
      </c>
      <c r="B44">
        <v>5.2534704160415078E+18</v>
      </c>
      <c r="C44">
        <v>1483624657</v>
      </c>
      <c r="D44">
        <v>1</v>
      </c>
      <c r="E44">
        <v>539.79999999999995</v>
      </c>
    </row>
    <row r="45" spans="1:5" hidden="1" x14ac:dyDescent="0.35">
      <c r="A45" s="5" t="s">
        <v>24</v>
      </c>
      <c r="B45">
        <v>1.6001495370333358E+18</v>
      </c>
      <c r="C45">
        <v>1484236611</v>
      </c>
      <c r="D45">
        <v>1</v>
      </c>
      <c r="E45">
        <v>524.34</v>
      </c>
    </row>
    <row r="46" spans="1:5" hidden="1" x14ac:dyDescent="0.35">
      <c r="A46" s="5" t="s">
        <v>24</v>
      </c>
      <c r="B46">
        <v>6.5699643908581478E+18</v>
      </c>
      <c r="C46">
        <v>1485909879</v>
      </c>
      <c r="D46">
        <v>1</v>
      </c>
      <c r="E46">
        <v>501.9</v>
      </c>
    </row>
    <row r="47" spans="1:5" hidden="1" x14ac:dyDescent="0.35">
      <c r="A47" s="5" t="s">
        <v>24</v>
      </c>
      <c r="B47">
        <v>6.0891519773521805E+17</v>
      </c>
      <c r="C47">
        <v>1484346392</v>
      </c>
      <c r="D47">
        <v>1</v>
      </c>
      <c r="E47">
        <v>501.84</v>
      </c>
    </row>
    <row r="48" spans="1:5" hidden="1" x14ac:dyDescent="0.35">
      <c r="A48" s="5" t="s">
        <v>24</v>
      </c>
      <c r="B48">
        <v>4.5276324101796009E+18</v>
      </c>
      <c r="C48">
        <v>1483893503</v>
      </c>
      <c r="D48">
        <v>1</v>
      </c>
      <c r="E48">
        <v>499.3</v>
      </c>
    </row>
    <row r="49" spans="1:5" hidden="1" x14ac:dyDescent="0.35">
      <c r="A49" s="5" t="s">
        <v>24</v>
      </c>
      <c r="B49">
        <v>3.2685444859747984E+16</v>
      </c>
      <c r="C49">
        <v>1485389275</v>
      </c>
      <c r="D49">
        <v>1</v>
      </c>
      <c r="E49">
        <v>469.87</v>
      </c>
    </row>
    <row r="50" spans="1:5" hidden="1" x14ac:dyDescent="0.35">
      <c r="A50" s="5" t="s">
        <v>24</v>
      </c>
      <c r="B50">
        <v>7.199611745811584E+18</v>
      </c>
      <c r="C50">
        <v>1483554305</v>
      </c>
      <c r="D50">
        <v>1</v>
      </c>
      <c r="E50">
        <v>463.6</v>
      </c>
    </row>
    <row r="51" spans="1:5" hidden="1" x14ac:dyDescent="0.35">
      <c r="A51" s="5" t="s">
        <v>24</v>
      </c>
      <c r="B51">
        <v>7.6382002619894026E+18</v>
      </c>
      <c r="C51">
        <v>1484849588</v>
      </c>
      <c r="D51">
        <v>1</v>
      </c>
      <c r="E51">
        <v>431.1</v>
      </c>
    </row>
    <row r="52" spans="1:5" hidden="1" x14ac:dyDescent="0.35">
      <c r="A52" s="5" t="s">
        <v>24</v>
      </c>
      <c r="B52">
        <v>6.1657456496944896E+18</v>
      </c>
      <c r="C52">
        <v>1483310116</v>
      </c>
      <c r="D52">
        <v>1</v>
      </c>
      <c r="E52">
        <v>425.07</v>
      </c>
    </row>
    <row r="53" spans="1:5" hidden="1" x14ac:dyDescent="0.35">
      <c r="A53" s="5" t="s">
        <v>24</v>
      </c>
      <c r="B53">
        <v>7.3940106999678935E+18</v>
      </c>
      <c r="C53">
        <v>1485208911</v>
      </c>
      <c r="D53">
        <v>1</v>
      </c>
      <c r="E53">
        <v>419.85</v>
      </c>
    </row>
    <row r="54" spans="1:5" hidden="1" x14ac:dyDescent="0.35">
      <c r="A54" s="5" t="s">
        <v>24</v>
      </c>
      <c r="B54">
        <v>2.5464646049122207E+18</v>
      </c>
      <c r="C54">
        <v>1485014740</v>
      </c>
      <c r="D54">
        <v>1</v>
      </c>
      <c r="E54">
        <v>416.8</v>
      </c>
    </row>
    <row r="55" spans="1:5" hidden="1" x14ac:dyDescent="0.35">
      <c r="A55" s="5" t="s">
        <v>24</v>
      </c>
      <c r="B55">
        <v>2.0201151745918758E+18</v>
      </c>
      <c r="C55">
        <v>1485900459</v>
      </c>
      <c r="D55">
        <v>1</v>
      </c>
      <c r="E55">
        <v>407.3</v>
      </c>
    </row>
    <row r="56" spans="1:5" hidden="1" x14ac:dyDescent="0.35">
      <c r="A56" s="5" t="s">
        <v>24</v>
      </c>
      <c r="B56">
        <v>7.0014240815383613E+18</v>
      </c>
      <c r="C56">
        <v>1485377315</v>
      </c>
      <c r="D56">
        <v>1</v>
      </c>
      <c r="E56">
        <v>406.49</v>
      </c>
    </row>
    <row r="57" spans="1:5" hidden="1" x14ac:dyDescent="0.35">
      <c r="A57" s="5" t="s">
        <v>24</v>
      </c>
      <c r="B57">
        <v>2.5464646049122207E+18</v>
      </c>
      <c r="C57">
        <v>1484363668</v>
      </c>
      <c r="D57">
        <v>1</v>
      </c>
      <c r="E57">
        <v>402.09</v>
      </c>
    </row>
    <row r="58" spans="1:5" hidden="1" x14ac:dyDescent="0.35">
      <c r="A58" s="5" t="s">
        <v>24</v>
      </c>
      <c r="B58">
        <v>8.2049487867727995E+18</v>
      </c>
      <c r="C58">
        <v>1485358707</v>
      </c>
      <c r="D58">
        <v>1</v>
      </c>
      <c r="E58">
        <v>401.07</v>
      </c>
    </row>
    <row r="59" spans="1:5" hidden="1" x14ac:dyDescent="0.35">
      <c r="A59" s="5" t="s">
        <v>24</v>
      </c>
      <c r="B59">
        <v>8.6722269189842266E+17</v>
      </c>
      <c r="C59">
        <v>1485213275</v>
      </c>
      <c r="D59">
        <v>1</v>
      </c>
      <c r="E59">
        <v>399.6</v>
      </c>
    </row>
    <row r="60" spans="1:5" hidden="1" x14ac:dyDescent="0.35">
      <c r="A60" s="5" t="s">
        <v>24</v>
      </c>
      <c r="B60">
        <v>4.3148637858197908E+18</v>
      </c>
      <c r="C60">
        <v>1484683725</v>
      </c>
      <c r="D60">
        <v>1</v>
      </c>
      <c r="E60">
        <v>390.95</v>
      </c>
    </row>
    <row r="61" spans="1:5" hidden="1" x14ac:dyDescent="0.35">
      <c r="A61" s="5" t="s">
        <v>24</v>
      </c>
      <c r="B61">
        <v>3.0738548492374907E+18</v>
      </c>
      <c r="C61">
        <v>1485282163</v>
      </c>
      <c r="D61">
        <v>1</v>
      </c>
      <c r="E61">
        <v>387.77</v>
      </c>
    </row>
    <row r="62" spans="1:5" hidden="1" x14ac:dyDescent="0.35">
      <c r="A62" s="5" t="s">
        <v>24</v>
      </c>
      <c r="B62">
        <v>7.2929839537629798E+18</v>
      </c>
      <c r="C62">
        <v>1485184673</v>
      </c>
      <c r="D62">
        <v>1</v>
      </c>
      <c r="E62">
        <v>383.7</v>
      </c>
    </row>
    <row r="63" spans="1:5" hidden="1" x14ac:dyDescent="0.35">
      <c r="A63" s="5" t="s">
        <v>24</v>
      </c>
      <c r="B63">
        <v>4.038361093830078E+18</v>
      </c>
      <c r="C63">
        <v>1485803736</v>
      </c>
      <c r="D63">
        <v>1</v>
      </c>
      <c r="E63">
        <v>374.74</v>
      </c>
    </row>
    <row r="64" spans="1:5" hidden="1" x14ac:dyDescent="0.35">
      <c r="A64" s="5" t="s">
        <v>24</v>
      </c>
      <c r="B64">
        <v>4.7764302368606802E+18</v>
      </c>
      <c r="C64">
        <v>1484553729</v>
      </c>
      <c r="D64">
        <v>1</v>
      </c>
      <c r="E64">
        <v>370.25</v>
      </c>
    </row>
    <row r="65" spans="1:5" hidden="1" x14ac:dyDescent="0.35">
      <c r="A65" s="5" t="s">
        <v>24</v>
      </c>
      <c r="B65">
        <v>2.751071784203498E+18</v>
      </c>
      <c r="C65">
        <v>1485805440</v>
      </c>
      <c r="D65">
        <v>1</v>
      </c>
      <c r="E65">
        <v>369.8</v>
      </c>
    </row>
    <row r="66" spans="1:5" hidden="1" x14ac:dyDescent="0.35">
      <c r="A66" s="5" t="s">
        <v>24</v>
      </c>
      <c r="B66">
        <v>9.1223504258568684E+18</v>
      </c>
      <c r="C66">
        <v>1485196771</v>
      </c>
      <c r="D66">
        <v>1</v>
      </c>
      <c r="E66">
        <v>358.72</v>
      </c>
    </row>
    <row r="67" spans="1:5" hidden="1" x14ac:dyDescent="0.35">
      <c r="A67" s="5" t="s">
        <v>24</v>
      </c>
      <c r="B67">
        <v>3.8269338376217713E+18</v>
      </c>
      <c r="C67">
        <v>1483539782</v>
      </c>
      <c r="D67">
        <v>1</v>
      </c>
      <c r="E67">
        <v>350</v>
      </c>
    </row>
    <row r="68" spans="1:5" hidden="1" x14ac:dyDescent="0.35">
      <c r="A68" s="5" t="s">
        <v>24</v>
      </c>
      <c r="B68">
        <v>6.110976865163606E+18</v>
      </c>
      <c r="C68">
        <v>1485796019</v>
      </c>
      <c r="D68">
        <v>1</v>
      </c>
      <c r="E68">
        <v>347.43</v>
      </c>
    </row>
    <row r="69" spans="1:5" hidden="1" x14ac:dyDescent="0.35">
      <c r="A69" s="5" t="s">
        <v>24</v>
      </c>
      <c r="B69">
        <v>1.7244403063182746E+18</v>
      </c>
      <c r="C69">
        <v>1483630921</v>
      </c>
      <c r="D69">
        <v>1</v>
      </c>
      <c r="E69">
        <v>346.32</v>
      </c>
    </row>
    <row r="70" spans="1:5" hidden="1" x14ac:dyDescent="0.35">
      <c r="A70" s="5" t="s">
        <v>24</v>
      </c>
      <c r="B70">
        <v>8.1978796437977129E+18</v>
      </c>
      <c r="C70">
        <v>1483371238</v>
      </c>
      <c r="D70">
        <v>1</v>
      </c>
      <c r="E70">
        <v>338.13</v>
      </c>
    </row>
    <row r="71" spans="1:5" hidden="1" x14ac:dyDescent="0.35">
      <c r="A71" s="5" t="s">
        <v>24</v>
      </c>
      <c r="B71">
        <v>7.3112428860838543E+18</v>
      </c>
      <c r="C71">
        <v>1483729063</v>
      </c>
      <c r="D71">
        <v>1</v>
      </c>
      <c r="E71">
        <v>337</v>
      </c>
    </row>
    <row r="72" spans="1:5" hidden="1" x14ac:dyDescent="0.35">
      <c r="A72" s="5" t="s">
        <v>24</v>
      </c>
      <c r="B72">
        <v>5.0170765770587116E+18</v>
      </c>
      <c r="C72">
        <v>1483978646</v>
      </c>
      <c r="D72">
        <v>1</v>
      </c>
      <c r="E72">
        <v>335.4</v>
      </c>
    </row>
    <row r="73" spans="1:5" hidden="1" x14ac:dyDescent="0.35">
      <c r="A73" s="5" t="s">
        <v>24</v>
      </c>
      <c r="B73">
        <v>6.8496048630101688E+18</v>
      </c>
      <c r="C73">
        <v>1483566314</v>
      </c>
      <c r="D73">
        <v>1</v>
      </c>
      <c r="E73">
        <v>335.26</v>
      </c>
    </row>
    <row r="74" spans="1:5" hidden="1" x14ac:dyDescent="0.35">
      <c r="A74" s="5" t="s">
        <v>24</v>
      </c>
      <c r="B74">
        <v>2.0052306389047162E+17</v>
      </c>
      <c r="C74">
        <v>1485738200</v>
      </c>
      <c r="D74">
        <v>1</v>
      </c>
      <c r="E74">
        <v>333.04</v>
      </c>
    </row>
    <row r="75" spans="1:5" hidden="1" x14ac:dyDescent="0.35">
      <c r="A75" s="5" t="s">
        <v>24</v>
      </c>
      <c r="B75">
        <v>5.3438540797521828E+18</v>
      </c>
      <c r="C75">
        <v>1485806049</v>
      </c>
      <c r="D75">
        <v>1</v>
      </c>
      <c r="E75">
        <v>324.92</v>
      </c>
    </row>
    <row r="76" spans="1:5" hidden="1" x14ac:dyDescent="0.35">
      <c r="A76" s="5" t="s">
        <v>24</v>
      </c>
      <c r="B76">
        <v>8.436426603099391E+18</v>
      </c>
      <c r="C76">
        <v>1485890093</v>
      </c>
      <c r="D76">
        <v>2</v>
      </c>
      <c r="E76">
        <v>306.83999999999997</v>
      </c>
    </row>
    <row r="77" spans="1:5" hidden="1" x14ac:dyDescent="0.35">
      <c r="A77" s="5" t="s">
        <v>24</v>
      </c>
      <c r="B77">
        <v>1.9975613959013987E+17</v>
      </c>
      <c r="C77">
        <v>1485791810</v>
      </c>
      <c r="D77">
        <v>2</v>
      </c>
      <c r="E77">
        <v>299.55</v>
      </c>
    </row>
    <row r="78" spans="1:5" hidden="1" x14ac:dyDescent="0.35">
      <c r="A78" s="5" t="s">
        <v>24</v>
      </c>
      <c r="B78">
        <v>3.841458002774357E+18</v>
      </c>
      <c r="C78">
        <v>1483716636</v>
      </c>
      <c r="D78">
        <v>1</v>
      </c>
      <c r="E78">
        <v>299.5</v>
      </c>
    </row>
    <row r="79" spans="1:5" hidden="1" x14ac:dyDescent="0.35">
      <c r="A79" s="5" t="s">
        <v>24</v>
      </c>
      <c r="B79">
        <v>2.1701872074666278E+18</v>
      </c>
      <c r="C79">
        <v>1484028859</v>
      </c>
      <c r="D79">
        <v>1</v>
      </c>
      <c r="E79">
        <v>289.92</v>
      </c>
    </row>
    <row r="80" spans="1:5" hidden="1" x14ac:dyDescent="0.35">
      <c r="A80" s="5" t="s">
        <v>24</v>
      </c>
      <c r="B80">
        <v>7.4350520385451274E+18</v>
      </c>
      <c r="C80">
        <v>1484794049</v>
      </c>
      <c r="D80">
        <v>1</v>
      </c>
      <c r="E80">
        <v>289.37</v>
      </c>
    </row>
    <row r="81" spans="1:5" hidden="1" x14ac:dyDescent="0.35">
      <c r="A81" s="5" t="s">
        <v>24</v>
      </c>
      <c r="B81">
        <v>2.196696088271959E+18</v>
      </c>
      <c r="C81">
        <v>1484073248</v>
      </c>
      <c r="D81">
        <v>1</v>
      </c>
      <c r="E81">
        <v>280.5</v>
      </c>
    </row>
    <row r="82" spans="1:5" hidden="1" x14ac:dyDescent="0.35">
      <c r="A82" s="5" t="s">
        <v>24</v>
      </c>
      <c r="B82">
        <v>7.4350520385451274E+18</v>
      </c>
      <c r="C82">
        <v>1484689887</v>
      </c>
      <c r="D82">
        <v>1</v>
      </c>
      <c r="E82">
        <v>279.37</v>
      </c>
    </row>
    <row r="83" spans="1:5" hidden="1" x14ac:dyDescent="0.35">
      <c r="A83" s="5" t="s">
        <v>24</v>
      </c>
      <c r="B83">
        <v>5.4019372711611066E+17</v>
      </c>
      <c r="C83">
        <v>1485278166</v>
      </c>
      <c r="D83">
        <v>1</v>
      </c>
      <c r="E83">
        <v>271.7</v>
      </c>
    </row>
    <row r="84" spans="1:5" hidden="1" x14ac:dyDescent="0.35">
      <c r="A84" s="5" t="s">
        <v>24</v>
      </c>
      <c r="B84">
        <v>1.8071688758306312E+18</v>
      </c>
      <c r="C84">
        <v>1484164074</v>
      </c>
      <c r="D84">
        <v>1</v>
      </c>
      <c r="E84">
        <v>268.74</v>
      </c>
    </row>
    <row r="85" spans="1:5" hidden="1" x14ac:dyDescent="0.35">
      <c r="A85" s="5" t="s">
        <v>24</v>
      </c>
      <c r="B85">
        <v>5.9491698540587592E+18</v>
      </c>
      <c r="C85">
        <v>1484019497</v>
      </c>
      <c r="D85">
        <v>1</v>
      </c>
      <c r="E85">
        <v>268.42</v>
      </c>
    </row>
    <row r="86" spans="1:5" hidden="1" x14ac:dyDescent="0.35">
      <c r="A86" s="5" t="s">
        <v>24</v>
      </c>
      <c r="B86">
        <v>1.7597793566789514E+18</v>
      </c>
      <c r="C86">
        <v>1485467514</v>
      </c>
      <c r="D86">
        <v>1</v>
      </c>
      <c r="E86">
        <v>264.79000000000002</v>
      </c>
    </row>
    <row r="87" spans="1:5" hidden="1" x14ac:dyDescent="0.35">
      <c r="A87" s="5" t="s">
        <v>24</v>
      </c>
      <c r="B87">
        <v>5.5907438449268931E+18</v>
      </c>
      <c r="C87">
        <v>1485799306</v>
      </c>
      <c r="D87">
        <v>1</v>
      </c>
      <c r="E87">
        <v>259.88</v>
      </c>
    </row>
    <row r="88" spans="1:5" hidden="1" x14ac:dyDescent="0.35">
      <c r="A88" s="5" t="s">
        <v>24</v>
      </c>
      <c r="B88">
        <v>6.0891519773521805E+17</v>
      </c>
      <c r="C88">
        <v>1485467658</v>
      </c>
      <c r="D88">
        <v>1</v>
      </c>
      <c r="E88">
        <v>259.37</v>
      </c>
    </row>
    <row r="89" spans="1:5" hidden="1" x14ac:dyDescent="0.35">
      <c r="A89" s="5" t="s">
        <v>24</v>
      </c>
      <c r="B89">
        <v>4.5489863476729723E+18</v>
      </c>
      <c r="C89">
        <v>1484696055</v>
      </c>
      <c r="D89">
        <v>1</v>
      </c>
      <c r="E89">
        <v>254.85</v>
      </c>
    </row>
    <row r="90" spans="1:5" hidden="1" x14ac:dyDescent="0.35">
      <c r="A90" s="5" t="s">
        <v>24</v>
      </c>
      <c r="B90">
        <v>6.9581362564609372E+18</v>
      </c>
      <c r="C90">
        <v>1484864697</v>
      </c>
      <c r="D90">
        <v>1</v>
      </c>
      <c r="E90">
        <v>251.65</v>
      </c>
    </row>
    <row r="91" spans="1:5" hidden="1" x14ac:dyDescent="0.35">
      <c r="A91" s="5" t="s">
        <v>24</v>
      </c>
      <c r="B91">
        <v>6.9865367613076552E+18</v>
      </c>
      <c r="C91">
        <v>1485834064</v>
      </c>
      <c r="D91">
        <v>1</v>
      </c>
      <c r="E91">
        <v>251.24</v>
      </c>
    </row>
    <row r="92" spans="1:5" hidden="1" x14ac:dyDescent="0.35">
      <c r="A92" s="5" t="s">
        <v>24</v>
      </c>
      <c r="B92">
        <v>2.9066307270752358E+17</v>
      </c>
      <c r="C92">
        <v>1484344382</v>
      </c>
      <c r="D92">
        <v>1</v>
      </c>
      <c r="E92">
        <v>244.3</v>
      </c>
    </row>
    <row r="93" spans="1:5" hidden="1" x14ac:dyDescent="0.35">
      <c r="A93" s="5" t="s">
        <v>24</v>
      </c>
      <c r="B93">
        <v>1.591673974231051E+18</v>
      </c>
      <c r="C93">
        <v>1483487862</v>
      </c>
      <c r="D93">
        <v>1</v>
      </c>
      <c r="E93">
        <v>243.16</v>
      </c>
    </row>
    <row r="94" spans="1:5" hidden="1" x14ac:dyDescent="0.35">
      <c r="A94" s="5" t="s">
        <v>24</v>
      </c>
      <c r="B94">
        <v>7.7883880857599058E+18</v>
      </c>
      <c r="C94">
        <v>1483990544</v>
      </c>
      <c r="D94">
        <v>1</v>
      </c>
      <c r="E94">
        <v>239.6</v>
      </c>
    </row>
    <row r="95" spans="1:5" hidden="1" x14ac:dyDescent="0.35">
      <c r="A95" s="5" t="s">
        <v>24</v>
      </c>
      <c r="B95">
        <v>6.6194736875584051E+17</v>
      </c>
      <c r="C95">
        <v>1485458220</v>
      </c>
      <c r="D95">
        <v>1</v>
      </c>
      <c r="E95">
        <v>236.79</v>
      </c>
    </row>
    <row r="96" spans="1:5" hidden="1" x14ac:dyDescent="0.35">
      <c r="A96" s="5" t="s">
        <v>24</v>
      </c>
      <c r="B96">
        <v>6.2887250975855391E+18</v>
      </c>
      <c r="C96">
        <v>1483984289</v>
      </c>
      <c r="D96">
        <v>1</v>
      </c>
      <c r="E96">
        <v>231.03</v>
      </c>
    </row>
    <row r="97" spans="1:5" hidden="1" x14ac:dyDescent="0.35">
      <c r="A97" s="5" t="s">
        <v>24</v>
      </c>
      <c r="B97">
        <v>5.5907438449268931E+18</v>
      </c>
      <c r="C97">
        <v>1484186324</v>
      </c>
      <c r="D97">
        <v>1</v>
      </c>
      <c r="E97">
        <v>230.93</v>
      </c>
    </row>
    <row r="98" spans="1:5" hidden="1" x14ac:dyDescent="0.35">
      <c r="A98" s="5" t="s">
        <v>24</v>
      </c>
      <c r="B98">
        <v>8.1566935374515067E+18</v>
      </c>
      <c r="C98">
        <v>1484267392</v>
      </c>
      <c r="D98">
        <v>1</v>
      </c>
      <c r="E98">
        <v>228.45</v>
      </c>
    </row>
    <row r="99" spans="1:5" hidden="1" x14ac:dyDescent="0.35">
      <c r="A99" s="5" t="s">
        <v>24</v>
      </c>
      <c r="B99">
        <v>5.5413118863792722E+18</v>
      </c>
      <c r="C99">
        <v>1484254964</v>
      </c>
      <c r="D99">
        <v>1</v>
      </c>
      <c r="E99">
        <v>224.85</v>
      </c>
    </row>
    <row r="100" spans="1:5" hidden="1" x14ac:dyDescent="0.35">
      <c r="A100" s="5" t="s">
        <v>24</v>
      </c>
      <c r="B100">
        <v>1.9911753474086486E+17</v>
      </c>
      <c r="C100">
        <v>1483672623</v>
      </c>
      <c r="D100">
        <v>1</v>
      </c>
      <c r="E100">
        <v>223.6</v>
      </c>
    </row>
    <row r="101" spans="1:5" hidden="1" x14ac:dyDescent="0.35">
      <c r="A101" s="5" t="s">
        <v>24</v>
      </c>
      <c r="B101">
        <v>3.6978257900837171E+18</v>
      </c>
      <c r="C101">
        <v>1483735263</v>
      </c>
      <c r="D101">
        <v>1</v>
      </c>
      <c r="E101">
        <v>215.97</v>
      </c>
    </row>
    <row r="102" spans="1:5" hidden="1" x14ac:dyDescent="0.35">
      <c r="A102" s="5" t="s">
        <v>24</v>
      </c>
      <c r="B102">
        <v>7.6383364114473329E+18</v>
      </c>
      <c r="C102">
        <v>1485531717</v>
      </c>
      <c r="D102">
        <v>1</v>
      </c>
      <c r="E102">
        <v>211.8</v>
      </c>
    </row>
    <row r="103" spans="1:5" hidden="1" x14ac:dyDescent="0.35">
      <c r="A103" s="5" t="s">
        <v>24</v>
      </c>
      <c r="B103">
        <v>4.6604602464076155E+18</v>
      </c>
      <c r="C103">
        <v>1485797757</v>
      </c>
      <c r="D103">
        <v>1</v>
      </c>
      <c r="E103">
        <v>209.85</v>
      </c>
    </row>
    <row r="104" spans="1:5" hidden="1" x14ac:dyDescent="0.35">
      <c r="A104" s="5" t="s">
        <v>24</v>
      </c>
      <c r="B104">
        <v>1.63643203726113E+18</v>
      </c>
      <c r="C104">
        <v>1483487213</v>
      </c>
      <c r="D104">
        <v>1</v>
      </c>
      <c r="E104">
        <v>207.14</v>
      </c>
    </row>
    <row r="105" spans="1:5" hidden="1" x14ac:dyDescent="0.35">
      <c r="A105" s="5" t="s">
        <v>24</v>
      </c>
      <c r="B105">
        <v>2.0201151745918758E+18</v>
      </c>
      <c r="C105">
        <v>1484322843</v>
      </c>
      <c r="D105">
        <v>1</v>
      </c>
      <c r="E105">
        <v>203.9</v>
      </c>
    </row>
    <row r="106" spans="1:5" hidden="1" x14ac:dyDescent="0.35">
      <c r="A106" s="5" t="s">
        <v>24</v>
      </c>
      <c r="B106">
        <v>6.6764172525981297E+18</v>
      </c>
      <c r="C106">
        <v>1485529230</v>
      </c>
      <c r="D106">
        <v>1</v>
      </c>
      <c r="E106">
        <v>201.15</v>
      </c>
    </row>
    <row r="107" spans="1:5" hidden="1" x14ac:dyDescent="0.35">
      <c r="A107" s="5" t="s">
        <v>24</v>
      </c>
      <c r="B107">
        <v>3.7165286076641894E+18</v>
      </c>
      <c r="C107">
        <v>1485200321</v>
      </c>
      <c r="D107">
        <v>1</v>
      </c>
      <c r="E107">
        <v>200.95</v>
      </c>
    </row>
    <row r="108" spans="1:5" hidden="1" x14ac:dyDescent="0.35">
      <c r="A108" s="5" t="s">
        <v>24</v>
      </c>
      <c r="B108">
        <v>9.9583708995099686E+17</v>
      </c>
      <c r="C108">
        <v>1484194918</v>
      </c>
      <c r="D108">
        <v>1</v>
      </c>
      <c r="E108">
        <v>200.66</v>
      </c>
    </row>
    <row r="109" spans="1:5" hidden="1" x14ac:dyDescent="0.35">
      <c r="A109" s="5" t="s">
        <v>24</v>
      </c>
      <c r="B109">
        <v>2.8383940300485463E+18</v>
      </c>
      <c r="C109">
        <v>1485283949</v>
      </c>
      <c r="D109">
        <v>1</v>
      </c>
      <c r="E109">
        <v>199.9</v>
      </c>
    </row>
    <row r="110" spans="1:5" hidden="1" x14ac:dyDescent="0.35">
      <c r="A110" s="5" t="s">
        <v>24</v>
      </c>
      <c r="B110">
        <v>6.8852785710923699E+17</v>
      </c>
      <c r="C110">
        <v>1485535462</v>
      </c>
      <c r="D110">
        <v>1</v>
      </c>
      <c r="E110">
        <v>199.9</v>
      </c>
    </row>
    <row r="111" spans="1:5" hidden="1" x14ac:dyDescent="0.35">
      <c r="A111" s="5" t="s">
        <v>24</v>
      </c>
      <c r="B111">
        <v>5.9203382151436175E+18</v>
      </c>
      <c r="C111">
        <v>1485361941</v>
      </c>
      <c r="D111">
        <v>1</v>
      </c>
      <c r="E111">
        <v>199.8</v>
      </c>
    </row>
    <row r="112" spans="1:5" hidden="1" x14ac:dyDescent="0.35">
      <c r="A112" s="5" t="s">
        <v>24</v>
      </c>
      <c r="B112">
        <v>9.8842084083799511E+18</v>
      </c>
      <c r="C112">
        <v>1484977699</v>
      </c>
      <c r="D112">
        <v>1</v>
      </c>
      <c r="E112">
        <v>194.91</v>
      </c>
    </row>
    <row r="113" spans="1:5" hidden="1" x14ac:dyDescent="0.35">
      <c r="A113" s="5" t="s">
        <v>24</v>
      </c>
      <c r="B113">
        <v>4.7589166570850611E+18</v>
      </c>
      <c r="C113">
        <v>1484002795</v>
      </c>
      <c r="D113">
        <v>1</v>
      </c>
      <c r="E113">
        <v>191.7</v>
      </c>
    </row>
    <row r="114" spans="1:5" hidden="1" x14ac:dyDescent="0.35">
      <c r="A114" s="5" t="s">
        <v>24</v>
      </c>
      <c r="B114">
        <v>2.751071784203498E+18</v>
      </c>
      <c r="C114">
        <v>1484074173</v>
      </c>
      <c r="D114">
        <v>1</v>
      </c>
      <c r="E114">
        <v>191.64</v>
      </c>
    </row>
    <row r="115" spans="1:5" hidden="1" x14ac:dyDescent="0.35">
      <c r="A115" s="5" t="s">
        <v>24</v>
      </c>
      <c r="B115">
        <v>4.6332577356435277E+17</v>
      </c>
      <c r="C115">
        <v>1485475748</v>
      </c>
      <c r="D115">
        <v>1</v>
      </c>
      <c r="E115">
        <v>191.17</v>
      </c>
    </row>
    <row r="116" spans="1:5" hidden="1" x14ac:dyDescent="0.35">
      <c r="A116" s="5" t="s">
        <v>24</v>
      </c>
      <c r="B116">
        <v>8.7010654459490726E+17</v>
      </c>
      <c r="C116">
        <v>1485917307</v>
      </c>
      <c r="D116">
        <v>1</v>
      </c>
      <c r="E116">
        <v>191.14</v>
      </c>
    </row>
    <row r="117" spans="1:5" hidden="1" x14ac:dyDescent="0.35">
      <c r="A117" s="5" t="s">
        <v>24</v>
      </c>
      <c r="B117">
        <v>7.6596618350121446E+17</v>
      </c>
      <c r="C117">
        <v>1483730247</v>
      </c>
      <c r="D117">
        <v>1</v>
      </c>
      <c r="E117">
        <v>183.88</v>
      </c>
    </row>
    <row r="118" spans="1:5" hidden="1" x14ac:dyDescent="0.35">
      <c r="A118" s="5" t="s">
        <v>24</v>
      </c>
      <c r="B118">
        <v>7.0022540185528678E+17</v>
      </c>
      <c r="C118">
        <v>1485443740</v>
      </c>
      <c r="D118">
        <v>1</v>
      </c>
      <c r="E118">
        <v>179.16</v>
      </c>
    </row>
    <row r="119" spans="1:5" hidden="1" x14ac:dyDescent="0.35">
      <c r="A119" s="5" t="s">
        <v>24</v>
      </c>
      <c r="B119">
        <v>2.4304007537579808E+16</v>
      </c>
      <c r="C119">
        <v>1484770320</v>
      </c>
      <c r="D119">
        <v>1</v>
      </c>
      <c r="E119">
        <v>177.99</v>
      </c>
    </row>
    <row r="120" spans="1:5" hidden="1" x14ac:dyDescent="0.35">
      <c r="A120" s="5" t="s">
        <v>24</v>
      </c>
      <c r="B120">
        <v>9.5194535984389345E+18</v>
      </c>
      <c r="C120">
        <v>1485897066</v>
      </c>
      <c r="D120">
        <v>1</v>
      </c>
      <c r="E120">
        <v>177.55</v>
      </c>
    </row>
    <row r="121" spans="1:5" hidden="1" x14ac:dyDescent="0.35">
      <c r="A121" s="5" t="s">
        <v>24</v>
      </c>
      <c r="B121">
        <v>2.2729798366360927E+18</v>
      </c>
      <c r="C121">
        <v>1483567448</v>
      </c>
      <c r="D121">
        <v>1</v>
      </c>
      <c r="E121">
        <v>175.8</v>
      </c>
    </row>
    <row r="122" spans="1:5" hidden="1" x14ac:dyDescent="0.35">
      <c r="A122" s="5" t="s">
        <v>24</v>
      </c>
      <c r="B122">
        <v>6.1657456496944896E+18</v>
      </c>
      <c r="C122">
        <v>1485194137</v>
      </c>
      <c r="D122">
        <v>1</v>
      </c>
      <c r="E122">
        <v>175.6</v>
      </c>
    </row>
    <row r="123" spans="1:5" hidden="1" x14ac:dyDescent="0.35">
      <c r="A123" s="5" t="s">
        <v>24</v>
      </c>
      <c r="B123">
        <v>6.7735041293166561E+18</v>
      </c>
      <c r="C123">
        <v>1484687617</v>
      </c>
      <c r="D123">
        <v>1</v>
      </c>
      <c r="E123">
        <v>167.7</v>
      </c>
    </row>
    <row r="124" spans="1:5" hidden="1" x14ac:dyDescent="0.35">
      <c r="A124" s="5" t="s">
        <v>24</v>
      </c>
      <c r="B124">
        <v>2.4994071863802665E+18</v>
      </c>
      <c r="C124">
        <v>1484633704</v>
      </c>
      <c r="D124">
        <v>1</v>
      </c>
      <c r="E124">
        <v>167.15</v>
      </c>
    </row>
    <row r="125" spans="1:5" hidden="1" x14ac:dyDescent="0.35">
      <c r="A125" s="5" t="s">
        <v>24</v>
      </c>
      <c r="B125">
        <v>4.0198230497135206E+18</v>
      </c>
      <c r="C125">
        <v>1483655389</v>
      </c>
      <c r="D125">
        <v>1</v>
      </c>
      <c r="E125">
        <v>166.61</v>
      </c>
    </row>
    <row r="126" spans="1:5" hidden="1" x14ac:dyDescent="0.35">
      <c r="A126" s="5" t="s">
        <v>24</v>
      </c>
      <c r="B126">
        <v>2.5906299937850322E+18</v>
      </c>
      <c r="C126">
        <v>1483711901</v>
      </c>
      <c r="D126">
        <v>1</v>
      </c>
      <c r="E126">
        <v>166.31</v>
      </c>
    </row>
    <row r="127" spans="1:5" hidden="1" x14ac:dyDescent="0.35">
      <c r="A127" s="5" t="s">
        <v>24</v>
      </c>
      <c r="B127">
        <v>4.8157523372154307E+18</v>
      </c>
      <c r="C127">
        <v>1485121900</v>
      </c>
      <c r="D127">
        <v>1</v>
      </c>
      <c r="E127">
        <v>166.23</v>
      </c>
    </row>
    <row r="128" spans="1:5" hidden="1" x14ac:dyDescent="0.35">
      <c r="A128" s="5" t="s">
        <v>24</v>
      </c>
      <c r="B128">
        <v>7.254480785524182E+18</v>
      </c>
      <c r="C128">
        <v>1484760650</v>
      </c>
      <c r="D128">
        <v>1</v>
      </c>
      <c r="E128">
        <v>164.84</v>
      </c>
    </row>
    <row r="129" spans="1:5" hidden="1" x14ac:dyDescent="0.35">
      <c r="A129" s="5" t="s">
        <v>24</v>
      </c>
      <c r="B129">
        <v>9.670996124580137E+18</v>
      </c>
      <c r="C129">
        <v>1483578939</v>
      </c>
      <c r="D129">
        <v>1</v>
      </c>
      <c r="E129">
        <v>159.97999999999999</v>
      </c>
    </row>
    <row r="130" spans="1:5" hidden="1" x14ac:dyDescent="0.35">
      <c r="A130" s="5" t="s">
        <v>24</v>
      </c>
      <c r="B130">
        <v>2.8383940300485463E+18</v>
      </c>
      <c r="C130">
        <v>1484153831</v>
      </c>
      <c r="D130">
        <v>1</v>
      </c>
      <c r="E130">
        <v>159.91999999999999</v>
      </c>
    </row>
    <row r="131" spans="1:5" hidden="1" x14ac:dyDescent="0.35">
      <c r="A131" s="5" t="s">
        <v>24</v>
      </c>
      <c r="B131">
        <v>2.8383940300485463E+18</v>
      </c>
      <c r="C131">
        <v>1484073717</v>
      </c>
      <c r="D131">
        <v>1</v>
      </c>
      <c r="E131">
        <v>159.91999999999999</v>
      </c>
    </row>
    <row r="132" spans="1:5" hidden="1" x14ac:dyDescent="0.35">
      <c r="A132" s="5" t="s">
        <v>24</v>
      </c>
      <c r="B132">
        <v>7.259532299447064E+16</v>
      </c>
      <c r="C132">
        <v>1483474149</v>
      </c>
      <c r="D132">
        <v>1</v>
      </c>
      <c r="E132">
        <v>159.75</v>
      </c>
    </row>
    <row r="133" spans="1:5" hidden="1" x14ac:dyDescent="0.35">
      <c r="A133" s="5" t="s">
        <v>24</v>
      </c>
      <c r="B133">
        <v>1.0781629024791442E+18</v>
      </c>
      <c r="C133">
        <v>1484079124</v>
      </c>
      <c r="D133">
        <v>1</v>
      </c>
      <c r="E133">
        <v>157.44</v>
      </c>
    </row>
    <row r="134" spans="1:5" hidden="1" x14ac:dyDescent="0.35">
      <c r="A134" s="5" t="s">
        <v>24</v>
      </c>
      <c r="B134">
        <v>5.279031134219239E+17</v>
      </c>
      <c r="C134">
        <v>1485891169</v>
      </c>
      <c r="D134">
        <v>1</v>
      </c>
      <c r="E134">
        <v>156.68</v>
      </c>
    </row>
    <row r="135" spans="1:5" hidden="1" x14ac:dyDescent="0.35">
      <c r="A135" s="5" t="s">
        <v>24</v>
      </c>
      <c r="B135">
        <v>9.7104805019092316E+18</v>
      </c>
      <c r="C135">
        <v>1483562473</v>
      </c>
      <c r="D135">
        <v>1</v>
      </c>
      <c r="E135">
        <v>155.97</v>
      </c>
    </row>
    <row r="136" spans="1:5" hidden="1" x14ac:dyDescent="0.35">
      <c r="A136" s="5" t="s">
        <v>24</v>
      </c>
      <c r="B136">
        <v>7.1807675330118822E+17</v>
      </c>
      <c r="C136">
        <v>1483893162</v>
      </c>
      <c r="D136">
        <v>1</v>
      </c>
      <c r="E136">
        <v>155.91999999999999</v>
      </c>
    </row>
    <row r="137" spans="1:5" hidden="1" x14ac:dyDescent="0.35">
      <c r="A137" s="5" t="s">
        <v>24</v>
      </c>
      <c r="B137">
        <v>9.898247421236738E+18</v>
      </c>
      <c r="C137">
        <v>1485905514</v>
      </c>
      <c r="D137">
        <v>1</v>
      </c>
      <c r="E137">
        <v>154.36000000000001</v>
      </c>
    </row>
    <row r="138" spans="1:5" hidden="1" x14ac:dyDescent="0.35">
      <c r="A138" s="5" t="s">
        <v>24</v>
      </c>
      <c r="B138">
        <v>6.4503289150332262E+18</v>
      </c>
      <c r="C138">
        <v>1483467949</v>
      </c>
      <c r="D138">
        <v>3</v>
      </c>
      <c r="E138">
        <v>151.9</v>
      </c>
    </row>
    <row r="139" spans="1:5" hidden="1" x14ac:dyDescent="0.35">
      <c r="A139" s="5" t="s">
        <v>24</v>
      </c>
      <c r="B139">
        <v>5.1129488881944187E+18</v>
      </c>
      <c r="C139">
        <v>1484793219</v>
      </c>
      <c r="D139">
        <v>1</v>
      </c>
      <c r="E139">
        <v>151.35</v>
      </c>
    </row>
    <row r="140" spans="1:5" hidden="1" x14ac:dyDescent="0.35">
      <c r="A140" s="5" t="s">
        <v>24</v>
      </c>
      <c r="B140">
        <v>5.0400133336544348E+18</v>
      </c>
      <c r="C140">
        <v>1485200004</v>
      </c>
      <c r="D140">
        <v>1</v>
      </c>
      <c r="E140">
        <v>149.88</v>
      </c>
    </row>
    <row r="141" spans="1:5" hidden="1" x14ac:dyDescent="0.35">
      <c r="A141" s="5" t="s">
        <v>24</v>
      </c>
      <c r="B141">
        <v>3.5930994413680374E+18</v>
      </c>
      <c r="C141">
        <v>1483729717</v>
      </c>
      <c r="D141">
        <v>1</v>
      </c>
      <c r="E141">
        <v>147.79</v>
      </c>
    </row>
    <row r="142" spans="1:5" hidden="1" x14ac:dyDescent="0.35">
      <c r="A142" s="5" t="s">
        <v>24</v>
      </c>
      <c r="B142">
        <v>2.5131344042123279E+18</v>
      </c>
      <c r="C142">
        <v>1484341012</v>
      </c>
      <c r="D142">
        <v>1</v>
      </c>
      <c r="E142">
        <v>146.94</v>
      </c>
    </row>
    <row r="143" spans="1:5" hidden="1" x14ac:dyDescent="0.35">
      <c r="A143" s="5" t="s">
        <v>24</v>
      </c>
      <c r="B143">
        <v>7.9392133674787942E+18</v>
      </c>
      <c r="C143">
        <v>1484091697</v>
      </c>
      <c r="D143">
        <v>1</v>
      </c>
      <c r="E143">
        <v>145.99</v>
      </c>
    </row>
    <row r="144" spans="1:5" hidden="1" x14ac:dyDescent="0.35">
      <c r="A144" s="5" t="s">
        <v>24</v>
      </c>
      <c r="B144">
        <v>8.1056344394747699E+17</v>
      </c>
      <c r="C144">
        <v>1483315785</v>
      </c>
      <c r="D144">
        <v>1</v>
      </c>
      <c r="E144">
        <v>145.52000000000001</v>
      </c>
    </row>
    <row r="145" spans="1:5" hidden="1" x14ac:dyDescent="0.35">
      <c r="A145" s="5" t="s">
        <v>24</v>
      </c>
      <c r="B145">
        <v>1.3481758537705894E+17</v>
      </c>
      <c r="C145">
        <v>1484860279</v>
      </c>
      <c r="D145">
        <v>1</v>
      </c>
      <c r="E145">
        <v>145.44999999999999</v>
      </c>
    </row>
    <row r="146" spans="1:5" hidden="1" x14ac:dyDescent="0.35">
      <c r="A146" s="5" t="s">
        <v>24</v>
      </c>
      <c r="B146">
        <v>4.4129006853430472E+18</v>
      </c>
      <c r="C146">
        <v>1483721228</v>
      </c>
      <c r="D146">
        <v>1</v>
      </c>
      <c r="E146">
        <v>143.97</v>
      </c>
    </row>
    <row r="147" spans="1:5" hidden="1" x14ac:dyDescent="0.35">
      <c r="A147" s="5" t="s">
        <v>24</v>
      </c>
      <c r="B147">
        <v>3.2017011396442995E+17</v>
      </c>
      <c r="C147">
        <v>1483989876</v>
      </c>
      <c r="D147">
        <v>1</v>
      </c>
      <c r="E147">
        <v>143.82</v>
      </c>
    </row>
    <row r="148" spans="1:5" hidden="1" x14ac:dyDescent="0.35">
      <c r="A148" s="5" t="s">
        <v>24</v>
      </c>
      <c r="B148">
        <v>6.8559738371812424E+18</v>
      </c>
      <c r="C148">
        <v>1485751300</v>
      </c>
      <c r="D148">
        <v>1</v>
      </c>
      <c r="E148">
        <v>142.77000000000001</v>
      </c>
    </row>
    <row r="149" spans="1:5" hidden="1" x14ac:dyDescent="0.35">
      <c r="A149" s="5" t="s">
        <v>24</v>
      </c>
      <c r="B149">
        <v>6.2146119842592829E+18</v>
      </c>
      <c r="C149">
        <v>1483643204</v>
      </c>
      <c r="D149">
        <v>1</v>
      </c>
      <c r="E149">
        <v>140.91</v>
      </c>
    </row>
    <row r="150" spans="1:5" hidden="1" x14ac:dyDescent="0.35">
      <c r="A150" s="5" t="s">
        <v>24</v>
      </c>
      <c r="B150">
        <v>5.5303756388710349E+18</v>
      </c>
      <c r="C150">
        <v>1483708557</v>
      </c>
      <c r="D150">
        <v>1</v>
      </c>
      <c r="E150">
        <v>139.97999999999999</v>
      </c>
    </row>
    <row r="151" spans="1:5" hidden="1" x14ac:dyDescent="0.35">
      <c r="A151" s="5" t="s">
        <v>24</v>
      </c>
      <c r="B151">
        <v>2.591017631506071E+18</v>
      </c>
      <c r="C151">
        <v>1483561743</v>
      </c>
      <c r="D151">
        <v>1</v>
      </c>
      <c r="E151">
        <v>135.91999999999999</v>
      </c>
    </row>
    <row r="152" spans="1:5" hidden="1" x14ac:dyDescent="0.35">
      <c r="A152" s="5" t="s">
        <v>24</v>
      </c>
      <c r="B152">
        <v>2.9131400687020408E+16</v>
      </c>
      <c r="C152">
        <v>1483470881</v>
      </c>
      <c r="D152">
        <v>1</v>
      </c>
      <c r="E152">
        <v>134.32</v>
      </c>
    </row>
    <row r="153" spans="1:5" hidden="1" x14ac:dyDescent="0.35">
      <c r="A153" s="5" t="s">
        <v>24</v>
      </c>
      <c r="B153">
        <v>6.0227254017346499E+18</v>
      </c>
      <c r="C153">
        <v>1485389814</v>
      </c>
      <c r="D153">
        <v>1</v>
      </c>
      <c r="E153">
        <v>131.96</v>
      </c>
    </row>
    <row r="154" spans="1:5" hidden="1" x14ac:dyDescent="0.35">
      <c r="A154" s="5" t="s">
        <v>24</v>
      </c>
      <c r="B154">
        <v>7.089314040630584E+16</v>
      </c>
      <c r="C154">
        <v>1484674322</v>
      </c>
      <c r="D154">
        <v>1</v>
      </c>
      <c r="E154">
        <v>131.85</v>
      </c>
    </row>
    <row r="155" spans="1:5" hidden="1" x14ac:dyDescent="0.35">
      <c r="A155" s="5" t="s">
        <v>24</v>
      </c>
      <c r="B155">
        <v>6.0891519773521805E+17</v>
      </c>
      <c r="C155">
        <v>1484071431</v>
      </c>
      <c r="D155">
        <v>1</v>
      </c>
      <c r="E155">
        <v>130.36000000000001</v>
      </c>
    </row>
    <row r="156" spans="1:5" hidden="1" x14ac:dyDescent="0.35">
      <c r="A156" s="5" t="s">
        <v>24</v>
      </c>
      <c r="B156">
        <v>1.4133008455173527E+18</v>
      </c>
      <c r="C156">
        <v>1483354066</v>
      </c>
      <c r="D156">
        <v>1</v>
      </c>
      <c r="E156">
        <v>126.37</v>
      </c>
    </row>
    <row r="157" spans="1:5" hidden="1" x14ac:dyDescent="0.35">
      <c r="A157" s="5" t="s">
        <v>24</v>
      </c>
      <c r="B157">
        <v>9.3784334262839644E+18</v>
      </c>
      <c r="C157">
        <v>1485559520</v>
      </c>
      <c r="D157">
        <v>1</v>
      </c>
      <c r="E157">
        <v>125.54</v>
      </c>
    </row>
    <row r="158" spans="1:5" hidden="1" x14ac:dyDescent="0.35">
      <c r="A158" s="5" t="s">
        <v>24</v>
      </c>
      <c r="B158">
        <v>2.1637939020032992E+17</v>
      </c>
      <c r="C158">
        <v>1484334309</v>
      </c>
      <c r="D158">
        <v>1</v>
      </c>
      <c r="E158">
        <v>124.77</v>
      </c>
    </row>
    <row r="159" spans="1:5" hidden="1" x14ac:dyDescent="0.35">
      <c r="A159" s="5" t="s">
        <v>24</v>
      </c>
      <c r="B159">
        <v>3.5002491707586284E+18</v>
      </c>
      <c r="C159">
        <v>1484973095</v>
      </c>
      <c r="D159">
        <v>1</v>
      </c>
      <c r="E159">
        <v>124.76</v>
      </c>
    </row>
    <row r="160" spans="1:5" hidden="1" x14ac:dyDescent="0.35">
      <c r="A160" s="5" t="s">
        <v>24</v>
      </c>
      <c r="B160">
        <v>5.1103232478117427E+18</v>
      </c>
      <c r="C160">
        <v>1484120431</v>
      </c>
      <c r="D160">
        <v>1</v>
      </c>
      <c r="E160">
        <v>122.36</v>
      </c>
    </row>
    <row r="161" spans="1:5" hidden="1" x14ac:dyDescent="0.35">
      <c r="A161" s="5" t="s">
        <v>24</v>
      </c>
      <c r="B161">
        <v>6.7262078421883709E+18</v>
      </c>
      <c r="C161">
        <v>1483681849</v>
      </c>
      <c r="D161">
        <v>1</v>
      </c>
      <c r="E161">
        <v>121.56</v>
      </c>
    </row>
    <row r="162" spans="1:5" hidden="1" x14ac:dyDescent="0.35">
      <c r="A162" s="5" t="s">
        <v>24</v>
      </c>
      <c r="B162">
        <v>8.1840705529000272E+16</v>
      </c>
      <c r="C162">
        <v>1483557886</v>
      </c>
      <c r="D162">
        <v>1</v>
      </c>
      <c r="E162">
        <v>119.96</v>
      </c>
    </row>
    <row r="163" spans="1:5" hidden="1" x14ac:dyDescent="0.35">
      <c r="A163" s="5" t="s">
        <v>24</v>
      </c>
      <c r="B163">
        <v>4.1664219427191455E+18</v>
      </c>
      <c r="C163">
        <v>1485885179</v>
      </c>
      <c r="D163">
        <v>1</v>
      </c>
      <c r="E163">
        <v>119.96</v>
      </c>
    </row>
    <row r="164" spans="1:5" hidden="1" x14ac:dyDescent="0.35">
      <c r="A164" s="5" t="s">
        <v>24</v>
      </c>
      <c r="B164">
        <v>9.9444825491389338E+18</v>
      </c>
      <c r="C164">
        <v>1484842504</v>
      </c>
      <c r="D164">
        <v>1</v>
      </c>
      <c r="E164">
        <v>119.85</v>
      </c>
    </row>
    <row r="165" spans="1:5" hidden="1" x14ac:dyDescent="0.35">
      <c r="A165" s="5" t="s">
        <v>24</v>
      </c>
      <c r="B165">
        <v>6.4877790491512538E+17</v>
      </c>
      <c r="C165">
        <v>1485300239</v>
      </c>
      <c r="D165">
        <v>1</v>
      </c>
      <c r="E165">
        <v>118.91</v>
      </c>
    </row>
    <row r="166" spans="1:5" hidden="1" x14ac:dyDescent="0.35">
      <c r="A166" s="5" t="s">
        <v>24</v>
      </c>
      <c r="B166">
        <v>4.7868538532140232E+16</v>
      </c>
      <c r="C166">
        <v>1484744069</v>
      </c>
      <c r="D166">
        <v>1</v>
      </c>
      <c r="E166">
        <v>117.94</v>
      </c>
    </row>
    <row r="167" spans="1:5" hidden="1" x14ac:dyDescent="0.35">
      <c r="A167" s="5" t="s">
        <v>24</v>
      </c>
      <c r="B167">
        <v>1.3793986227039757E+18</v>
      </c>
      <c r="C167">
        <v>1484328131</v>
      </c>
      <c r="D167">
        <v>1</v>
      </c>
      <c r="E167">
        <v>116.78</v>
      </c>
    </row>
    <row r="168" spans="1:5" hidden="1" x14ac:dyDescent="0.35">
      <c r="A168" s="5" t="s">
        <v>24</v>
      </c>
      <c r="B168">
        <v>1.9412793345404524E+18</v>
      </c>
      <c r="C168">
        <v>1485271156</v>
      </c>
      <c r="D168">
        <v>1</v>
      </c>
      <c r="E168">
        <v>115.94</v>
      </c>
    </row>
    <row r="169" spans="1:5" hidden="1" x14ac:dyDescent="0.35">
      <c r="A169" s="5" t="s">
        <v>24</v>
      </c>
      <c r="B169">
        <v>9.6193650021043876E+18</v>
      </c>
      <c r="C169">
        <v>1483995410</v>
      </c>
      <c r="D169">
        <v>1</v>
      </c>
      <c r="E169">
        <v>115.92</v>
      </c>
    </row>
    <row r="170" spans="1:5" hidden="1" x14ac:dyDescent="0.35">
      <c r="A170" s="5" t="s">
        <v>24</v>
      </c>
      <c r="B170">
        <v>9.4718102540164403E+18</v>
      </c>
      <c r="C170">
        <v>1483984836</v>
      </c>
      <c r="D170">
        <v>1</v>
      </c>
      <c r="E170">
        <v>114.31</v>
      </c>
    </row>
    <row r="171" spans="1:5" hidden="1" x14ac:dyDescent="0.35">
      <c r="A171" s="5" t="s">
        <v>24</v>
      </c>
      <c r="B171">
        <v>5.4147784409693358E+18</v>
      </c>
      <c r="C171">
        <v>1483574146</v>
      </c>
      <c r="D171">
        <v>1</v>
      </c>
      <c r="E171">
        <v>111.98</v>
      </c>
    </row>
    <row r="172" spans="1:5" hidden="1" x14ac:dyDescent="0.35">
      <c r="A172" s="5" t="s">
        <v>24</v>
      </c>
      <c r="B172">
        <v>1.2708818072215119E+18</v>
      </c>
      <c r="C172">
        <v>1485356334</v>
      </c>
      <c r="D172">
        <v>1</v>
      </c>
      <c r="E172">
        <v>111.98</v>
      </c>
    </row>
    <row r="173" spans="1:5" hidden="1" x14ac:dyDescent="0.35">
      <c r="A173" s="5" t="s">
        <v>24</v>
      </c>
      <c r="B173">
        <v>3.950126964842032E+17</v>
      </c>
      <c r="C173">
        <v>1484964281</v>
      </c>
      <c r="D173">
        <v>1</v>
      </c>
      <c r="E173">
        <v>111.98</v>
      </c>
    </row>
    <row r="174" spans="1:5" hidden="1" x14ac:dyDescent="0.35">
      <c r="A174" s="5" t="s">
        <v>24</v>
      </c>
      <c r="B174">
        <v>7.8435624880714732E+18</v>
      </c>
      <c r="C174">
        <v>1485878506</v>
      </c>
      <c r="D174">
        <v>1</v>
      </c>
      <c r="E174">
        <v>111.8</v>
      </c>
    </row>
    <row r="175" spans="1:5" hidden="1" x14ac:dyDescent="0.35">
      <c r="A175" s="5" t="s">
        <v>24</v>
      </c>
      <c r="B175">
        <v>5.1025193418348605E+18</v>
      </c>
      <c r="C175">
        <v>1484703418</v>
      </c>
      <c r="D175">
        <v>1</v>
      </c>
      <c r="E175">
        <v>111.18</v>
      </c>
    </row>
    <row r="176" spans="1:5" hidden="1" x14ac:dyDescent="0.35">
      <c r="A176" s="5" t="s">
        <v>24</v>
      </c>
      <c r="B176">
        <v>1.738639015522943E+17</v>
      </c>
      <c r="C176">
        <v>1484399835</v>
      </c>
      <c r="D176">
        <v>1</v>
      </c>
      <c r="E176">
        <v>111.16</v>
      </c>
    </row>
    <row r="177" spans="1:5" hidden="1" x14ac:dyDescent="0.35">
      <c r="A177" s="5" t="s">
        <v>24</v>
      </c>
      <c r="B177">
        <v>9.4273631599553372E+18</v>
      </c>
      <c r="C177">
        <v>1485732278</v>
      </c>
      <c r="D177">
        <v>1</v>
      </c>
      <c r="E177">
        <v>110.94</v>
      </c>
    </row>
    <row r="178" spans="1:5" hidden="1" x14ac:dyDescent="0.35">
      <c r="A178" s="5" t="s">
        <v>24</v>
      </c>
      <c r="B178">
        <v>2.8148725515443205E+18</v>
      </c>
      <c r="C178">
        <v>1483999908</v>
      </c>
      <c r="D178">
        <v>1</v>
      </c>
      <c r="E178">
        <v>109.99</v>
      </c>
    </row>
    <row r="179" spans="1:5" hidden="1" x14ac:dyDescent="0.35">
      <c r="A179" s="5" t="s">
        <v>24</v>
      </c>
      <c r="B179">
        <v>1.4400243450807081E+18</v>
      </c>
      <c r="C179">
        <v>1484752096</v>
      </c>
      <c r="D179">
        <v>1</v>
      </c>
      <c r="E179">
        <v>106.32</v>
      </c>
    </row>
    <row r="180" spans="1:5" hidden="1" x14ac:dyDescent="0.35">
      <c r="A180" s="5" t="s">
        <v>24</v>
      </c>
      <c r="B180">
        <v>1.5571151794284304E+17</v>
      </c>
      <c r="C180">
        <v>1483470975</v>
      </c>
      <c r="D180">
        <v>1</v>
      </c>
      <c r="E180">
        <v>106.31</v>
      </c>
    </row>
    <row r="181" spans="1:5" hidden="1" x14ac:dyDescent="0.35">
      <c r="A181" s="5" t="s">
        <v>24</v>
      </c>
      <c r="B181">
        <v>2.4025271997311508E+18</v>
      </c>
      <c r="C181">
        <v>1485453756</v>
      </c>
      <c r="D181">
        <v>1</v>
      </c>
      <c r="E181">
        <v>106.26</v>
      </c>
    </row>
    <row r="182" spans="1:5" hidden="1" x14ac:dyDescent="0.35">
      <c r="A182" s="5" t="s">
        <v>24</v>
      </c>
      <c r="B182">
        <v>6.7141795259257318E+17</v>
      </c>
      <c r="C182">
        <v>1484763664</v>
      </c>
      <c r="D182">
        <v>1</v>
      </c>
      <c r="E182">
        <v>105.94</v>
      </c>
    </row>
    <row r="183" spans="1:5" hidden="1" x14ac:dyDescent="0.35">
      <c r="A183" s="5" t="s">
        <v>24</v>
      </c>
      <c r="B183">
        <v>7.419167186572757E+18</v>
      </c>
      <c r="C183">
        <v>1484243845</v>
      </c>
      <c r="D183">
        <v>1</v>
      </c>
      <c r="E183">
        <v>105.52</v>
      </c>
    </row>
    <row r="184" spans="1:5" hidden="1" x14ac:dyDescent="0.35">
      <c r="A184" s="5" t="s">
        <v>24</v>
      </c>
      <c r="B184">
        <v>7.914629518787881E+17</v>
      </c>
      <c r="C184">
        <v>1485465620</v>
      </c>
      <c r="D184">
        <v>1</v>
      </c>
      <c r="E184">
        <v>105.12</v>
      </c>
    </row>
    <row r="185" spans="1:5" hidden="1" x14ac:dyDescent="0.35">
      <c r="A185" s="5" t="s">
        <v>24</v>
      </c>
      <c r="B185">
        <v>9.5221332989377946E+18</v>
      </c>
      <c r="C185">
        <v>1483635208</v>
      </c>
      <c r="D185">
        <v>1</v>
      </c>
      <c r="E185">
        <v>104.78</v>
      </c>
    </row>
    <row r="186" spans="1:5" hidden="1" x14ac:dyDescent="0.35">
      <c r="A186" s="5" t="s">
        <v>24</v>
      </c>
      <c r="B186">
        <v>2.6780176059772621E+18</v>
      </c>
      <c r="C186">
        <v>1484937964</v>
      </c>
      <c r="D186">
        <v>1</v>
      </c>
      <c r="E186">
        <v>104.78</v>
      </c>
    </row>
    <row r="187" spans="1:5" hidden="1" x14ac:dyDescent="0.35">
      <c r="A187" s="5" t="s">
        <v>24</v>
      </c>
      <c r="B187">
        <v>9.596568187246807E+18</v>
      </c>
      <c r="C187">
        <v>1485809599</v>
      </c>
      <c r="D187">
        <v>1</v>
      </c>
      <c r="E187">
        <v>103.94</v>
      </c>
    </row>
    <row r="188" spans="1:5" hidden="1" x14ac:dyDescent="0.35">
      <c r="A188" s="5" t="s">
        <v>24</v>
      </c>
      <c r="B188">
        <v>1.6209487103440328E+18</v>
      </c>
      <c r="C188">
        <v>1484805232</v>
      </c>
      <c r="D188">
        <v>1</v>
      </c>
      <c r="E188">
        <v>103.18</v>
      </c>
    </row>
    <row r="189" spans="1:5" hidden="1" x14ac:dyDescent="0.35">
      <c r="A189" s="5" t="s">
        <v>24</v>
      </c>
      <c r="B189">
        <v>4.4826247458861184E+18</v>
      </c>
      <c r="C189">
        <v>1483476498</v>
      </c>
      <c r="D189">
        <v>1</v>
      </c>
      <c r="E189">
        <v>103.05</v>
      </c>
    </row>
    <row r="190" spans="1:5" hidden="1" x14ac:dyDescent="0.35">
      <c r="A190" s="5" t="s">
        <v>24</v>
      </c>
      <c r="B190">
        <v>5.8602239521955238E+17</v>
      </c>
      <c r="C190">
        <v>1485829002</v>
      </c>
      <c r="D190">
        <v>1</v>
      </c>
      <c r="E190">
        <v>103.02</v>
      </c>
    </row>
    <row r="191" spans="1:5" hidden="1" x14ac:dyDescent="0.35">
      <c r="A191" s="5" t="s">
        <v>24</v>
      </c>
      <c r="B191">
        <v>7.0775460924047882E+18</v>
      </c>
      <c r="C191">
        <v>1485728697</v>
      </c>
      <c r="D191">
        <v>1</v>
      </c>
      <c r="E191">
        <v>101.97</v>
      </c>
    </row>
    <row r="192" spans="1:5" hidden="1" x14ac:dyDescent="0.35">
      <c r="A192" s="5" t="s">
        <v>24</v>
      </c>
      <c r="B192">
        <v>3.4409413576534733E+18</v>
      </c>
      <c r="C192">
        <v>1485041614</v>
      </c>
      <c r="D192">
        <v>1</v>
      </c>
      <c r="E192">
        <v>101.95</v>
      </c>
    </row>
    <row r="193" spans="1:5" hidden="1" x14ac:dyDescent="0.35">
      <c r="A193" s="5" t="s">
        <v>24</v>
      </c>
      <c r="B193">
        <v>4.3658097767161513E+18</v>
      </c>
      <c r="C193">
        <v>1483988529</v>
      </c>
      <c r="D193">
        <v>1</v>
      </c>
      <c r="E193">
        <v>100</v>
      </c>
    </row>
    <row r="194" spans="1:5" hidden="1" x14ac:dyDescent="0.35">
      <c r="A194" s="5" t="s">
        <v>24</v>
      </c>
      <c r="B194">
        <v>1.9155389336852785E+18</v>
      </c>
      <c r="C194">
        <v>1483632043</v>
      </c>
      <c r="D194">
        <v>1</v>
      </c>
      <c r="E194">
        <v>100</v>
      </c>
    </row>
    <row r="195" spans="1:5" hidden="1" x14ac:dyDescent="0.35">
      <c r="A195" s="5" t="s">
        <v>24</v>
      </c>
      <c r="B195">
        <v>7.8186225823679908E+18</v>
      </c>
      <c r="C195">
        <v>1483968781</v>
      </c>
      <c r="D195">
        <v>1</v>
      </c>
      <c r="E195">
        <v>99.99</v>
      </c>
    </row>
    <row r="196" spans="1:5" hidden="1" x14ac:dyDescent="0.35">
      <c r="A196" s="5" t="s">
        <v>24</v>
      </c>
      <c r="B196">
        <v>1.4799056818935281E+18</v>
      </c>
      <c r="C196">
        <v>1483768019</v>
      </c>
      <c r="D196">
        <v>1</v>
      </c>
      <c r="E196">
        <v>99.98</v>
      </c>
    </row>
    <row r="197" spans="1:5" hidden="1" x14ac:dyDescent="0.35">
      <c r="A197" s="5" t="s">
        <v>24</v>
      </c>
      <c r="B197">
        <v>1.8452815502009828E+18</v>
      </c>
      <c r="C197">
        <v>1483627716</v>
      </c>
      <c r="D197">
        <v>1</v>
      </c>
      <c r="E197">
        <v>98.99</v>
      </c>
    </row>
    <row r="198" spans="1:5" hidden="1" x14ac:dyDescent="0.35">
      <c r="A198" s="5" t="s">
        <v>24</v>
      </c>
      <c r="B198">
        <v>4.0600120809189184E+17</v>
      </c>
      <c r="C198">
        <v>1485469662</v>
      </c>
      <c r="D198">
        <v>1</v>
      </c>
      <c r="E198">
        <v>96.77</v>
      </c>
    </row>
    <row r="199" spans="1:5" hidden="1" x14ac:dyDescent="0.35">
      <c r="A199" s="5" t="s">
        <v>24</v>
      </c>
      <c r="B199">
        <v>7.2700809534642002E+18</v>
      </c>
      <c r="C199">
        <v>1485552658</v>
      </c>
      <c r="D199">
        <v>1</v>
      </c>
      <c r="E199">
        <v>95.99</v>
      </c>
    </row>
    <row r="200" spans="1:5" hidden="1" x14ac:dyDescent="0.35">
      <c r="A200" s="5" t="s">
        <v>24</v>
      </c>
      <c r="B200">
        <v>2.7799594705599104E+17</v>
      </c>
      <c r="C200">
        <v>1483622617</v>
      </c>
      <c r="D200">
        <v>1</v>
      </c>
      <c r="E200">
        <v>95.98</v>
      </c>
    </row>
    <row r="201" spans="1:5" hidden="1" x14ac:dyDescent="0.35">
      <c r="A201" s="5" t="s">
        <v>24</v>
      </c>
      <c r="B201">
        <v>4.5992931511857674E+18</v>
      </c>
      <c r="C201">
        <v>1483679701</v>
      </c>
      <c r="D201">
        <v>1</v>
      </c>
      <c r="E201">
        <v>95.96</v>
      </c>
    </row>
    <row r="202" spans="1:5" hidden="1" x14ac:dyDescent="0.35">
      <c r="A202" s="5" t="s">
        <v>24</v>
      </c>
      <c r="B202">
        <v>5.8189070151555318E+18</v>
      </c>
      <c r="C202">
        <v>1485398248</v>
      </c>
      <c r="D202">
        <v>1</v>
      </c>
      <c r="E202">
        <v>95.8</v>
      </c>
    </row>
    <row r="203" spans="1:5" hidden="1" x14ac:dyDescent="0.35">
      <c r="A203" s="5" t="s">
        <v>24</v>
      </c>
      <c r="B203">
        <v>5.4502127689930168E+18</v>
      </c>
      <c r="C203">
        <v>1483752676</v>
      </c>
      <c r="D203">
        <v>1</v>
      </c>
      <c r="E203">
        <v>93.57</v>
      </c>
    </row>
    <row r="204" spans="1:5" hidden="1" x14ac:dyDescent="0.35">
      <c r="A204" s="5" t="s">
        <v>24</v>
      </c>
      <c r="B204">
        <v>5.811515226534313E+18</v>
      </c>
      <c r="C204">
        <v>1484406696</v>
      </c>
      <c r="D204">
        <v>1</v>
      </c>
      <c r="E204">
        <v>91.97</v>
      </c>
    </row>
    <row r="205" spans="1:5" hidden="1" x14ac:dyDescent="0.35">
      <c r="A205" s="5" t="s">
        <v>24</v>
      </c>
      <c r="B205">
        <v>3.3477069476313759E+18</v>
      </c>
      <c r="C205">
        <v>1483538832</v>
      </c>
      <c r="D205">
        <v>1</v>
      </c>
      <c r="E205">
        <v>91.08</v>
      </c>
    </row>
    <row r="206" spans="1:5" hidden="1" x14ac:dyDescent="0.35">
      <c r="A206" s="5" t="s">
        <v>24</v>
      </c>
      <c r="B206">
        <v>8.0109242163014011E+18</v>
      </c>
      <c r="C206">
        <v>1484025720</v>
      </c>
      <c r="D206">
        <v>1</v>
      </c>
      <c r="E206">
        <v>90.38</v>
      </c>
    </row>
    <row r="207" spans="1:5" hidden="1" x14ac:dyDescent="0.35">
      <c r="A207" s="5" t="s">
        <v>24</v>
      </c>
      <c r="B207">
        <v>3.4256533351840947E+17</v>
      </c>
      <c r="C207">
        <v>1483713955</v>
      </c>
      <c r="D207">
        <v>1</v>
      </c>
      <c r="E207">
        <v>89.95</v>
      </c>
    </row>
    <row r="208" spans="1:5" hidden="1" x14ac:dyDescent="0.35">
      <c r="A208" s="5" t="s">
        <v>24</v>
      </c>
      <c r="B208">
        <v>6.4621969532733184E+18</v>
      </c>
      <c r="C208">
        <v>1484620371</v>
      </c>
      <c r="D208">
        <v>1</v>
      </c>
      <c r="E208">
        <v>89.9</v>
      </c>
    </row>
    <row r="209" spans="1:5" hidden="1" x14ac:dyDescent="0.35">
      <c r="A209" s="5" t="s">
        <v>24</v>
      </c>
      <c r="B209">
        <v>3.8839190797176719E+18</v>
      </c>
      <c r="C209">
        <v>1485204836</v>
      </c>
      <c r="D209">
        <v>1</v>
      </c>
      <c r="E209">
        <v>89.58</v>
      </c>
    </row>
    <row r="210" spans="1:5" hidden="1" x14ac:dyDescent="0.35">
      <c r="A210" s="5" t="s">
        <v>24</v>
      </c>
      <c r="B210">
        <v>5.9691910509520486E+18</v>
      </c>
      <c r="C210">
        <v>1485716830</v>
      </c>
      <c r="D210">
        <v>1</v>
      </c>
      <c r="E210">
        <v>88.2</v>
      </c>
    </row>
    <row r="211" spans="1:5" hidden="1" x14ac:dyDescent="0.35">
      <c r="A211" s="5" t="s">
        <v>24</v>
      </c>
      <c r="B211">
        <v>4.3074116104973087E+18</v>
      </c>
      <c r="C211">
        <v>1485812030</v>
      </c>
      <c r="D211">
        <v>1</v>
      </c>
      <c r="E211">
        <v>87.99</v>
      </c>
    </row>
    <row r="212" spans="1:5" hidden="1" x14ac:dyDescent="0.35">
      <c r="A212" s="5" t="s">
        <v>24</v>
      </c>
      <c r="B212">
        <v>4.1238602343276575E+18</v>
      </c>
      <c r="C212">
        <v>1483559313</v>
      </c>
      <c r="D212">
        <v>1</v>
      </c>
      <c r="E212">
        <v>87.99</v>
      </c>
    </row>
    <row r="213" spans="1:5" hidden="1" x14ac:dyDescent="0.35">
      <c r="A213" s="5" t="s">
        <v>24</v>
      </c>
      <c r="B213">
        <v>2.2360662849462392E+18</v>
      </c>
      <c r="C213">
        <v>1484179342</v>
      </c>
      <c r="D213">
        <v>1</v>
      </c>
      <c r="E213">
        <v>87.99</v>
      </c>
    </row>
    <row r="214" spans="1:5" hidden="1" x14ac:dyDescent="0.35">
      <c r="A214" s="5" t="s">
        <v>24</v>
      </c>
      <c r="B214">
        <v>5.453025700794151E+17</v>
      </c>
      <c r="C214">
        <v>1484271231</v>
      </c>
      <c r="D214">
        <v>1</v>
      </c>
      <c r="E214">
        <v>87.99</v>
      </c>
    </row>
    <row r="215" spans="1:5" hidden="1" x14ac:dyDescent="0.35">
      <c r="A215" s="5" t="s">
        <v>24</v>
      </c>
      <c r="B215">
        <v>5.22359013237328E+17</v>
      </c>
      <c r="C215">
        <v>1483450985</v>
      </c>
      <c r="D215">
        <v>1</v>
      </c>
      <c r="E215">
        <v>87.98</v>
      </c>
    </row>
    <row r="216" spans="1:5" hidden="1" x14ac:dyDescent="0.35">
      <c r="A216" s="5" t="s">
        <v>24</v>
      </c>
      <c r="B216">
        <v>7.6473990511648819E+18</v>
      </c>
      <c r="C216">
        <v>1484339978</v>
      </c>
      <c r="D216">
        <v>1</v>
      </c>
      <c r="E216">
        <v>86.38</v>
      </c>
    </row>
    <row r="217" spans="1:5" hidden="1" x14ac:dyDescent="0.35">
      <c r="A217" s="5" t="s">
        <v>24</v>
      </c>
      <c r="B217">
        <v>4.5395978577339986E+18</v>
      </c>
      <c r="C217">
        <v>1484694639</v>
      </c>
      <c r="D217">
        <v>1</v>
      </c>
      <c r="E217">
        <v>84.94</v>
      </c>
    </row>
    <row r="218" spans="1:5" hidden="1" x14ac:dyDescent="0.35">
      <c r="A218" s="5" t="s">
        <v>24</v>
      </c>
      <c r="B218">
        <v>9.389853808320852E+18</v>
      </c>
      <c r="C218">
        <v>1484162048</v>
      </c>
      <c r="D218">
        <v>1</v>
      </c>
      <c r="E218">
        <v>84.75</v>
      </c>
    </row>
    <row r="219" spans="1:5" hidden="1" x14ac:dyDescent="0.35">
      <c r="A219" s="5" t="s">
        <v>24</v>
      </c>
      <c r="B219">
        <v>9.4336437283187855E+18</v>
      </c>
      <c r="C219">
        <v>1485914202</v>
      </c>
      <c r="D219">
        <v>1</v>
      </c>
      <c r="E219">
        <v>83.16</v>
      </c>
    </row>
    <row r="220" spans="1:5" hidden="1" x14ac:dyDescent="0.35">
      <c r="A220" s="5" t="s">
        <v>24</v>
      </c>
      <c r="B220">
        <v>7.0656627892499753E+18</v>
      </c>
      <c r="C220">
        <v>1485730053</v>
      </c>
      <c r="D220">
        <v>1</v>
      </c>
      <c r="E220">
        <v>82.96</v>
      </c>
    </row>
    <row r="221" spans="1:5" hidden="1" x14ac:dyDescent="0.35">
      <c r="A221" s="5" t="s">
        <v>24</v>
      </c>
      <c r="B221">
        <v>1.48135394525872E+17</v>
      </c>
      <c r="C221">
        <v>1484770707</v>
      </c>
      <c r="D221">
        <v>1</v>
      </c>
      <c r="E221">
        <v>82.92</v>
      </c>
    </row>
    <row r="222" spans="1:5" hidden="1" x14ac:dyDescent="0.35">
      <c r="A222" s="5" t="s">
        <v>24</v>
      </c>
      <c r="B222">
        <v>4.8089748855617157E+18</v>
      </c>
      <c r="C222">
        <v>1485286304</v>
      </c>
      <c r="D222">
        <v>1</v>
      </c>
      <c r="E222">
        <v>82.2</v>
      </c>
    </row>
    <row r="223" spans="1:5" hidden="1" x14ac:dyDescent="0.35">
      <c r="A223" s="5" t="s">
        <v>24</v>
      </c>
      <c r="B223">
        <v>2.0907148865302339E+18</v>
      </c>
      <c r="C223">
        <v>1483981412</v>
      </c>
      <c r="D223">
        <v>1</v>
      </c>
      <c r="E223">
        <v>80.98</v>
      </c>
    </row>
    <row r="224" spans="1:5" hidden="1" x14ac:dyDescent="0.35">
      <c r="A224" s="5" t="s">
        <v>24</v>
      </c>
      <c r="B224">
        <v>4.305270415377534E+18</v>
      </c>
      <c r="C224">
        <v>1485499587</v>
      </c>
      <c r="D224">
        <v>1</v>
      </c>
      <c r="E224">
        <v>80.760000000000005</v>
      </c>
    </row>
    <row r="225" spans="1:5" hidden="1" x14ac:dyDescent="0.35">
      <c r="A225" s="5" t="s">
        <v>24</v>
      </c>
      <c r="B225">
        <v>9.0348144345877217E+18</v>
      </c>
      <c r="C225">
        <v>1485821620</v>
      </c>
      <c r="D225">
        <v>1</v>
      </c>
      <c r="E225">
        <v>79.989999999999995</v>
      </c>
    </row>
    <row r="226" spans="1:5" hidden="1" x14ac:dyDescent="0.35">
      <c r="A226" s="5" t="s">
        <v>24</v>
      </c>
      <c r="B226">
        <v>6.6455851265482199E+18</v>
      </c>
      <c r="C226">
        <v>1484791493</v>
      </c>
      <c r="D226">
        <v>1</v>
      </c>
      <c r="E226">
        <v>79.989999999999995</v>
      </c>
    </row>
    <row r="227" spans="1:5" hidden="1" x14ac:dyDescent="0.35">
      <c r="A227" s="5" t="s">
        <v>24</v>
      </c>
      <c r="B227">
        <v>4.9676761365021256E+18</v>
      </c>
      <c r="C227">
        <v>1483538959</v>
      </c>
      <c r="D227">
        <v>1</v>
      </c>
      <c r="E227">
        <v>79.989999999999995</v>
      </c>
    </row>
    <row r="228" spans="1:5" hidden="1" x14ac:dyDescent="0.35">
      <c r="A228" s="5" t="s">
        <v>24</v>
      </c>
      <c r="B228">
        <v>6.9617990013565727E+18</v>
      </c>
      <c r="C228">
        <v>1485024534</v>
      </c>
      <c r="D228">
        <v>1</v>
      </c>
      <c r="E228">
        <v>79.989999999999995</v>
      </c>
    </row>
    <row r="229" spans="1:5" hidden="1" x14ac:dyDescent="0.35">
      <c r="A229" s="5" t="s">
        <v>24</v>
      </c>
      <c r="B229">
        <v>3.5273663056839224E+18</v>
      </c>
      <c r="C229">
        <v>1484697680</v>
      </c>
      <c r="D229">
        <v>1</v>
      </c>
      <c r="E229">
        <v>79.989999999999995</v>
      </c>
    </row>
    <row r="230" spans="1:5" hidden="1" x14ac:dyDescent="0.35">
      <c r="A230" s="5" t="s">
        <v>24</v>
      </c>
      <c r="B230">
        <v>5.7165466276853842E+18</v>
      </c>
      <c r="C230">
        <v>1485720807</v>
      </c>
      <c r="D230">
        <v>1</v>
      </c>
      <c r="E230">
        <v>79.989999999999995</v>
      </c>
    </row>
    <row r="231" spans="1:5" hidden="1" x14ac:dyDescent="0.35">
      <c r="A231" s="5" t="s">
        <v>24</v>
      </c>
      <c r="B231">
        <v>2.3959833079027286E+17</v>
      </c>
      <c r="C231">
        <v>1483927668</v>
      </c>
      <c r="D231">
        <v>1</v>
      </c>
      <c r="E231">
        <v>79.989999999999995</v>
      </c>
    </row>
    <row r="232" spans="1:5" hidden="1" x14ac:dyDescent="0.35">
      <c r="A232" s="5" t="s">
        <v>24</v>
      </c>
      <c r="B232">
        <v>5.9500591191242752E+18</v>
      </c>
      <c r="C232">
        <v>1484333470</v>
      </c>
      <c r="D232">
        <v>1</v>
      </c>
      <c r="E232">
        <v>79.989999999999995</v>
      </c>
    </row>
    <row r="233" spans="1:5" hidden="1" x14ac:dyDescent="0.35">
      <c r="A233" s="5" t="s">
        <v>24</v>
      </c>
      <c r="B233">
        <v>8.6838391239784192E+17</v>
      </c>
      <c r="C233">
        <v>1485786629</v>
      </c>
      <c r="D233">
        <v>1</v>
      </c>
      <c r="E233">
        <v>79.959999999999994</v>
      </c>
    </row>
    <row r="234" spans="1:5" hidden="1" x14ac:dyDescent="0.35">
      <c r="A234" s="5" t="s">
        <v>24</v>
      </c>
      <c r="B234">
        <v>5.8189070151555318E+18</v>
      </c>
      <c r="C234">
        <v>1485363477</v>
      </c>
      <c r="D234">
        <v>1</v>
      </c>
      <c r="E234">
        <v>79.8</v>
      </c>
    </row>
    <row r="235" spans="1:5" hidden="1" x14ac:dyDescent="0.35">
      <c r="A235" s="5" t="s">
        <v>24</v>
      </c>
      <c r="B235">
        <v>5.4279989591037024E+16</v>
      </c>
      <c r="C235">
        <v>1485026562</v>
      </c>
      <c r="D235">
        <v>1</v>
      </c>
      <c r="E235">
        <v>79.19</v>
      </c>
    </row>
    <row r="236" spans="1:5" hidden="1" x14ac:dyDescent="0.35">
      <c r="A236" s="5" t="s">
        <v>24</v>
      </c>
      <c r="B236">
        <v>5.3025710398276567E+18</v>
      </c>
      <c r="C236">
        <v>1484065856</v>
      </c>
      <c r="D236">
        <v>1</v>
      </c>
      <c r="E236">
        <v>79.19</v>
      </c>
    </row>
    <row r="237" spans="1:5" hidden="1" x14ac:dyDescent="0.35">
      <c r="A237" s="5" t="s">
        <v>24</v>
      </c>
      <c r="B237">
        <v>6.8550596263913759E+18</v>
      </c>
      <c r="C237">
        <v>1484253715</v>
      </c>
      <c r="D237">
        <v>1</v>
      </c>
      <c r="E237">
        <v>79.17</v>
      </c>
    </row>
    <row r="238" spans="1:5" hidden="1" x14ac:dyDescent="0.35">
      <c r="A238" s="5" t="s">
        <v>24</v>
      </c>
      <c r="B238">
        <v>7.6969737316400732E+18</v>
      </c>
      <c r="C238">
        <v>1484349592</v>
      </c>
      <c r="D238">
        <v>1</v>
      </c>
      <c r="E238">
        <v>77.53</v>
      </c>
    </row>
    <row r="239" spans="1:5" hidden="1" x14ac:dyDescent="0.35">
      <c r="A239" s="5" t="s">
        <v>24</v>
      </c>
      <c r="B239">
        <v>7.7427530036838758E+18</v>
      </c>
      <c r="C239">
        <v>1483554567</v>
      </c>
      <c r="D239">
        <v>1</v>
      </c>
      <c r="E239">
        <v>76.78</v>
      </c>
    </row>
    <row r="240" spans="1:5" hidden="1" x14ac:dyDescent="0.35">
      <c r="A240" s="5" t="s">
        <v>24</v>
      </c>
      <c r="B240">
        <v>2.0035640801529508E+18</v>
      </c>
      <c r="C240">
        <v>1485808664</v>
      </c>
      <c r="D240">
        <v>1</v>
      </c>
      <c r="E240">
        <v>76.760000000000005</v>
      </c>
    </row>
    <row r="241" spans="1:5" hidden="1" x14ac:dyDescent="0.35">
      <c r="A241" s="5" t="s">
        <v>24</v>
      </c>
      <c r="B241">
        <v>5.3097105561750927E+18</v>
      </c>
      <c r="C241">
        <v>1484836978</v>
      </c>
      <c r="D241">
        <v>1</v>
      </c>
      <c r="E241">
        <v>75.959999999999994</v>
      </c>
    </row>
    <row r="242" spans="1:5" hidden="1" x14ac:dyDescent="0.35">
      <c r="A242" s="5" t="s">
        <v>24</v>
      </c>
      <c r="B242">
        <v>5.1451790876007123E+17</v>
      </c>
      <c r="C242">
        <v>1485384182</v>
      </c>
      <c r="D242">
        <v>1</v>
      </c>
      <c r="E242">
        <v>75.95</v>
      </c>
    </row>
    <row r="243" spans="1:5" hidden="1" x14ac:dyDescent="0.35">
      <c r="A243" s="5" t="s">
        <v>24</v>
      </c>
      <c r="B243">
        <v>3.5549606212450017E+18</v>
      </c>
      <c r="C243">
        <v>1483588653</v>
      </c>
      <c r="D243">
        <v>1</v>
      </c>
      <c r="E243">
        <v>75.180000000000007</v>
      </c>
    </row>
    <row r="244" spans="1:5" hidden="1" x14ac:dyDescent="0.35">
      <c r="A244" s="5" t="s">
        <v>24</v>
      </c>
      <c r="B244">
        <v>3.7258362391659412E+18</v>
      </c>
      <c r="C244">
        <v>1483329849</v>
      </c>
      <c r="D244">
        <v>1</v>
      </c>
      <c r="E244">
        <v>75.180000000000007</v>
      </c>
    </row>
    <row r="245" spans="1:5" hidden="1" x14ac:dyDescent="0.35">
      <c r="A245" s="5" t="s">
        <v>24</v>
      </c>
      <c r="B245">
        <v>2.7403577826340842E+17</v>
      </c>
      <c r="C245">
        <v>1483311416</v>
      </c>
      <c r="D245">
        <v>1</v>
      </c>
      <c r="E245">
        <v>75.180000000000007</v>
      </c>
    </row>
    <row r="246" spans="1:5" hidden="1" x14ac:dyDescent="0.35">
      <c r="A246" s="5" t="s">
        <v>24</v>
      </c>
      <c r="B246">
        <v>2.5642704797003331E+18</v>
      </c>
      <c r="C246">
        <v>1484919605</v>
      </c>
      <c r="D246">
        <v>1</v>
      </c>
      <c r="E246">
        <v>75.17</v>
      </c>
    </row>
    <row r="247" spans="1:5" hidden="1" x14ac:dyDescent="0.35">
      <c r="A247" s="5" t="s">
        <v>24</v>
      </c>
      <c r="B247">
        <v>4.0585063743935078E+18</v>
      </c>
      <c r="C247">
        <v>1483998361</v>
      </c>
      <c r="D247">
        <v>1</v>
      </c>
      <c r="E247">
        <v>74.989999999999995</v>
      </c>
    </row>
    <row r="248" spans="1:5" hidden="1" x14ac:dyDescent="0.35">
      <c r="A248" s="5" t="s">
        <v>24</v>
      </c>
      <c r="B248">
        <v>9.049250229691905E+18</v>
      </c>
      <c r="C248">
        <v>1485280054</v>
      </c>
      <c r="D248">
        <v>1</v>
      </c>
      <c r="E248">
        <v>74.989999999999995</v>
      </c>
    </row>
    <row r="249" spans="1:5" hidden="1" x14ac:dyDescent="0.35">
      <c r="A249" s="5" t="s">
        <v>24</v>
      </c>
      <c r="B249">
        <v>5.8571887172920187E+18</v>
      </c>
      <c r="C249">
        <v>1484958180</v>
      </c>
      <c r="D249">
        <v>1</v>
      </c>
      <c r="E249">
        <v>74.989999999999995</v>
      </c>
    </row>
    <row r="250" spans="1:5" hidden="1" x14ac:dyDescent="0.35">
      <c r="A250" s="5" t="s">
        <v>24</v>
      </c>
      <c r="B250">
        <v>6.8245144738076365E+18</v>
      </c>
      <c r="C250">
        <v>1485897475</v>
      </c>
      <c r="D250">
        <v>1</v>
      </c>
      <c r="E250">
        <v>74.959999999999994</v>
      </c>
    </row>
    <row r="251" spans="1:5" hidden="1" x14ac:dyDescent="0.35">
      <c r="A251" s="5" t="s">
        <v>24</v>
      </c>
      <c r="B251">
        <v>8.3765885995052329E+18</v>
      </c>
      <c r="C251">
        <v>1484891409</v>
      </c>
      <c r="D251">
        <v>1</v>
      </c>
      <c r="E251">
        <v>74.349999999999994</v>
      </c>
    </row>
    <row r="252" spans="1:5" hidden="1" x14ac:dyDescent="0.35">
      <c r="A252" s="5" t="s">
        <v>24</v>
      </c>
      <c r="B252">
        <v>3.3028911654957504E+17</v>
      </c>
      <c r="C252">
        <v>1484232693</v>
      </c>
      <c r="D252">
        <v>1</v>
      </c>
      <c r="E252">
        <v>73.58</v>
      </c>
    </row>
    <row r="253" spans="1:5" hidden="1" x14ac:dyDescent="0.35">
      <c r="A253" s="5" t="s">
        <v>24</v>
      </c>
      <c r="B253">
        <v>9.4323932758346895E+18</v>
      </c>
      <c r="C253">
        <v>1484266115</v>
      </c>
      <c r="D253">
        <v>1</v>
      </c>
      <c r="E253">
        <v>73.52</v>
      </c>
    </row>
    <row r="254" spans="1:5" hidden="1" x14ac:dyDescent="0.35">
      <c r="A254" s="5" t="s">
        <v>24</v>
      </c>
      <c r="B254">
        <v>4.8884019424052746E+18</v>
      </c>
      <c r="C254">
        <v>1484863651</v>
      </c>
      <c r="D254">
        <v>1</v>
      </c>
      <c r="E254">
        <v>71.97</v>
      </c>
    </row>
    <row r="255" spans="1:5" hidden="1" x14ac:dyDescent="0.35">
      <c r="A255" s="5" t="s">
        <v>24</v>
      </c>
      <c r="B255">
        <v>9.0796141127702405E+18</v>
      </c>
      <c r="C255">
        <v>1484676704</v>
      </c>
      <c r="D255">
        <v>1</v>
      </c>
      <c r="E255">
        <v>71.94</v>
      </c>
    </row>
    <row r="256" spans="1:5" hidden="1" x14ac:dyDescent="0.35">
      <c r="A256" s="5" t="s">
        <v>24</v>
      </c>
      <c r="B256">
        <v>5.6093946185213932E+18</v>
      </c>
      <c r="C256">
        <v>1485798388</v>
      </c>
      <c r="D256">
        <v>1</v>
      </c>
      <c r="E256">
        <v>71.8</v>
      </c>
    </row>
    <row r="257" spans="1:5" hidden="1" x14ac:dyDescent="0.35">
      <c r="A257" s="5" t="s">
        <v>24</v>
      </c>
      <c r="B257">
        <v>9.056182171688832E+18</v>
      </c>
      <c r="C257">
        <v>1483729419</v>
      </c>
      <c r="D257">
        <v>1</v>
      </c>
      <c r="E257">
        <v>71.569999999999993</v>
      </c>
    </row>
    <row r="258" spans="1:5" hidden="1" x14ac:dyDescent="0.35">
      <c r="A258" s="5" t="s">
        <v>24</v>
      </c>
      <c r="B258">
        <v>3.3224203432734013E+18</v>
      </c>
      <c r="C258">
        <v>1483986560</v>
      </c>
      <c r="D258">
        <v>1</v>
      </c>
      <c r="E258">
        <v>71.09</v>
      </c>
    </row>
    <row r="259" spans="1:5" hidden="1" x14ac:dyDescent="0.35">
      <c r="A259" s="5" t="s">
        <v>24</v>
      </c>
      <c r="B259">
        <v>8.0318994989437819E+18</v>
      </c>
      <c r="C259">
        <v>1483753716</v>
      </c>
      <c r="D259">
        <v>1</v>
      </c>
      <c r="E259">
        <v>70.92</v>
      </c>
    </row>
    <row r="260" spans="1:5" hidden="1" x14ac:dyDescent="0.35">
      <c r="A260" s="5" t="s">
        <v>24</v>
      </c>
      <c r="B260">
        <v>1.3317591692314409E+18</v>
      </c>
      <c r="C260">
        <v>1485731401</v>
      </c>
      <c r="D260">
        <v>1</v>
      </c>
      <c r="E260">
        <v>70.39</v>
      </c>
    </row>
    <row r="261" spans="1:5" hidden="1" x14ac:dyDescent="0.35">
      <c r="A261" s="5" t="s">
        <v>24</v>
      </c>
      <c r="B261">
        <v>9.6312634422131674E+17</v>
      </c>
      <c r="C261">
        <v>1483552674</v>
      </c>
      <c r="D261">
        <v>1</v>
      </c>
      <c r="E261">
        <v>69.39</v>
      </c>
    </row>
    <row r="262" spans="1:5" hidden="1" x14ac:dyDescent="0.35">
      <c r="A262" s="5" t="s">
        <v>24</v>
      </c>
      <c r="B262">
        <v>4.806838724482439E+17</v>
      </c>
      <c r="C262">
        <v>1485881531</v>
      </c>
      <c r="D262">
        <v>1</v>
      </c>
      <c r="E262">
        <v>68.77</v>
      </c>
    </row>
    <row r="263" spans="1:5" hidden="1" x14ac:dyDescent="0.35">
      <c r="A263" s="5" t="s">
        <v>24</v>
      </c>
      <c r="B263">
        <v>4.4750859913658885E+18</v>
      </c>
      <c r="C263">
        <v>1485293920</v>
      </c>
      <c r="D263">
        <v>1</v>
      </c>
      <c r="E263">
        <v>67.14</v>
      </c>
    </row>
    <row r="264" spans="1:5" hidden="1" x14ac:dyDescent="0.35">
      <c r="A264" s="5" t="s">
        <v>24</v>
      </c>
      <c r="B264">
        <v>6.5260211646701732E+18</v>
      </c>
      <c r="C264">
        <v>1485832264</v>
      </c>
      <c r="D264">
        <v>1</v>
      </c>
      <c r="E264">
        <v>66.930000000000007</v>
      </c>
    </row>
    <row r="265" spans="1:5" hidden="1" x14ac:dyDescent="0.35">
      <c r="A265" s="5" t="s">
        <v>24</v>
      </c>
      <c r="B265">
        <v>3.7270614968886445E+17</v>
      </c>
      <c r="C265">
        <v>1484326485</v>
      </c>
      <c r="D265">
        <v>1</v>
      </c>
      <c r="E265">
        <v>64.78</v>
      </c>
    </row>
    <row r="266" spans="1:5" hidden="1" x14ac:dyDescent="0.35">
      <c r="A266" s="5" t="s">
        <v>24</v>
      </c>
      <c r="B266">
        <v>3.6740716426653542E+18</v>
      </c>
      <c r="C266">
        <v>1485910988</v>
      </c>
      <c r="D266">
        <v>1</v>
      </c>
      <c r="E266">
        <v>64.77</v>
      </c>
    </row>
    <row r="267" spans="1:5" hidden="1" x14ac:dyDescent="0.35">
      <c r="A267" s="5" t="s">
        <v>24</v>
      </c>
      <c r="B267">
        <v>7.4887103487105229E+18</v>
      </c>
      <c r="C267">
        <v>1485480993</v>
      </c>
      <c r="D267">
        <v>1</v>
      </c>
      <c r="E267">
        <v>64.7</v>
      </c>
    </row>
    <row r="268" spans="1:5" hidden="1" x14ac:dyDescent="0.35">
      <c r="A268" s="5" t="s">
        <v>24</v>
      </c>
      <c r="B268">
        <v>5.4678492418888264E+18</v>
      </c>
      <c r="C268">
        <v>1484085798</v>
      </c>
      <c r="D268">
        <v>1</v>
      </c>
      <c r="E268">
        <v>62.97</v>
      </c>
    </row>
    <row r="269" spans="1:5" hidden="1" x14ac:dyDescent="0.35">
      <c r="A269" s="5" t="s">
        <v>24</v>
      </c>
      <c r="B269">
        <v>2.9263394954222275E+18</v>
      </c>
      <c r="C269">
        <v>1483484831</v>
      </c>
      <c r="D269">
        <v>1</v>
      </c>
      <c r="E269">
        <v>61.96</v>
      </c>
    </row>
    <row r="270" spans="1:5" hidden="1" x14ac:dyDescent="0.35">
      <c r="A270" s="5" t="s">
        <v>24</v>
      </c>
      <c r="B270">
        <v>8.0921366628088525E+18</v>
      </c>
      <c r="C270">
        <v>1485377642</v>
      </c>
      <c r="D270">
        <v>1</v>
      </c>
      <c r="E270">
        <v>61.38</v>
      </c>
    </row>
    <row r="271" spans="1:5" hidden="1" x14ac:dyDescent="0.35">
      <c r="A271" s="5" t="s">
        <v>24</v>
      </c>
      <c r="B271">
        <v>6.5141038134745375E+18</v>
      </c>
      <c r="C271">
        <v>1485906172</v>
      </c>
      <c r="D271">
        <v>1</v>
      </c>
      <c r="E271">
        <v>60.78</v>
      </c>
    </row>
    <row r="272" spans="1:5" hidden="1" x14ac:dyDescent="0.35">
      <c r="A272" s="5" t="s">
        <v>24</v>
      </c>
      <c r="B272">
        <v>8.0388856348519398E+17</v>
      </c>
      <c r="C272">
        <v>1483989737</v>
      </c>
      <c r="D272">
        <v>1</v>
      </c>
      <c r="E272">
        <v>59.99</v>
      </c>
    </row>
    <row r="273" spans="1:5" hidden="1" x14ac:dyDescent="0.35">
      <c r="A273" s="5" t="s">
        <v>24</v>
      </c>
      <c r="B273">
        <v>4.7346644521875661E+18</v>
      </c>
      <c r="C273">
        <v>1485821417</v>
      </c>
      <c r="D273">
        <v>1</v>
      </c>
      <c r="E273">
        <v>59.99</v>
      </c>
    </row>
    <row r="274" spans="1:5" hidden="1" x14ac:dyDescent="0.35">
      <c r="A274" s="5" t="s">
        <v>24</v>
      </c>
      <c r="B274">
        <v>9.3230694066877932E+18</v>
      </c>
      <c r="C274">
        <v>1485554450</v>
      </c>
      <c r="D274">
        <v>1</v>
      </c>
      <c r="E274">
        <v>59.99</v>
      </c>
    </row>
    <row r="275" spans="1:5" hidden="1" x14ac:dyDescent="0.35">
      <c r="A275" s="5" t="s">
        <v>24</v>
      </c>
      <c r="B275">
        <v>7.813149961404844E+18</v>
      </c>
      <c r="C275">
        <v>1484170311</v>
      </c>
      <c r="D275">
        <v>1</v>
      </c>
      <c r="E275">
        <v>59.99</v>
      </c>
    </row>
    <row r="276" spans="1:5" hidden="1" x14ac:dyDescent="0.35">
      <c r="A276" s="5" t="s">
        <v>24</v>
      </c>
      <c r="B276">
        <v>8.8856780080623483E+18</v>
      </c>
      <c r="C276">
        <v>1483379496</v>
      </c>
      <c r="D276">
        <v>1</v>
      </c>
      <c r="E276">
        <v>59.99</v>
      </c>
    </row>
    <row r="277" spans="1:5" hidden="1" x14ac:dyDescent="0.35">
      <c r="A277" s="5" t="s">
        <v>24</v>
      </c>
      <c r="B277">
        <v>5.4147784409693358E+18</v>
      </c>
      <c r="C277">
        <v>1484592272</v>
      </c>
      <c r="D277">
        <v>1</v>
      </c>
      <c r="E277">
        <v>59.99</v>
      </c>
    </row>
    <row r="278" spans="1:5" hidden="1" x14ac:dyDescent="0.35">
      <c r="A278" s="5" t="s">
        <v>24</v>
      </c>
      <c r="B278">
        <v>6.2147475344691425E+18</v>
      </c>
      <c r="C278">
        <v>1483459696</v>
      </c>
      <c r="D278">
        <v>1</v>
      </c>
      <c r="E278">
        <v>59.99</v>
      </c>
    </row>
    <row r="279" spans="1:5" hidden="1" x14ac:dyDescent="0.35">
      <c r="A279" s="5" t="s">
        <v>24</v>
      </c>
      <c r="B279">
        <v>3.4241085817593769E+18</v>
      </c>
      <c r="C279">
        <v>1483718878</v>
      </c>
      <c r="D279">
        <v>1</v>
      </c>
      <c r="E279">
        <v>59.99</v>
      </c>
    </row>
    <row r="280" spans="1:5" hidden="1" x14ac:dyDescent="0.35">
      <c r="A280" s="5" t="s">
        <v>24</v>
      </c>
      <c r="B280">
        <v>5.0843653975994225E+18</v>
      </c>
      <c r="C280">
        <v>1485113454</v>
      </c>
      <c r="D280">
        <v>1</v>
      </c>
      <c r="E280">
        <v>59.98</v>
      </c>
    </row>
    <row r="281" spans="1:5" hidden="1" x14ac:dyDescent="0.35">
      <c r="A281" s="5" t="s">
        <v>24</v>
      </c>
      <c r="B281">
        <v>4638983005167591</v>
      </c>
      <c r="C281">
        <v>1483781165</v>
      </c>
      <c r="D281">
        <v>1</v>
      </c>
      <c r="E281">
        <v>59.96</v>
      </c>
    </row>
    <row r="282" spans="1:5" hidden="1" x14ac:dyDescent="0.35">
      <c r="A282" s="5" t="s">
        <v>24</v>
      </c>
      <c r="B282">
        <v>3.3898578192051763E+18</v>
      </c>
      <c r="C282">
        <v>1484671845</v>
      </c>
      <c r="D282">
        <v>1</v>
      </c>
      <c r="E282">
        <v>59.54</v>
      </c>
    </row>
    <row r="283" spans="1:5" hidden="1" x14ac:dyDescent="0.35">
      <c r="A283" s="5" t="s">
        <v>24</v>
      </c>
      <c r="B283">
        <v>2.7729301290398668E+16</v>
      </c>
      <c r="C283">
        <v>1484712595</v>
      </c>
      <c r="D283">
        <v>1</v>
      </c>
      <c r="E283">
        <v>59.17</v>
      </c>
    </row>
    <row r="284" spans="1:5" hidden="1" x14ac:dyDescent="0.35">
      <c r="A284" s="5" t="s">
        <v>24</v>
      </c>
      <c r="B284">
        <v>8.3432355236604529E+18</v>
      </c>
      <c r="C284">
        <v>1484834745</v>
      </c>
      <c r="D284">
        <v>1</v>
      </c>
      <c r="E284">
        <v>58.35</v>
      </c>
    </row>
    <row r="285" spans="1:5" hidden="1" x14ac:dyDescent="0.35">
      <c r="A285" s="5" t="s">
        <v>24</v>
      </c>
      <c r="B285">
        <v>4.486935701134684E+16</v>
      </c>
      <c r="C285">
        <v>1483802210</v>
      </c>
      <c r="D285">
        <v>1</v>
      </c>
      <c r="E285">
        <v>57.97</v>
      </c>
    </row>
    <row r="286" spans="1:5" hidden="1" x14ac:dyDescent="0.35">
      <c r="A286" s="5" t="s">
        <v>24</v>
      </c>
      <c r="B286">
        <v>6.3888242502766336E+18</v>
      </c>
      <c r="C286">
        <v>1485474460</v>
      </c>
      <c r="D286">
        <v>1</v>
      </c>
      <c r="E286">
        <v>57.57</v>
      </c>
    </row>
    <row r="287" spans="1:5" hidden="1" x14ac:dyDescent="0.35">
      <c r="A287" s="5" t="s">
        <v>24</v>
      </c>
      <c r="B287">
        <v>7.0356558886317281E+18</v>
      </c>
      <c r="C287">
        <v>1483918447</v>
      </c>
      <c r="D287">
        <v>1</v>
      </c>
      <c r="E287">
        <v>57.56</v>
      </c>
    </row>
    <row r="288" spans="1:5" hidden="1" x14ac:dyDescent="0.35">
      <c r="A288" s="5" t="s">
        <v>24</v>
      </c>
      <c r="B288">
        <v>3.8718916967726351E+18</v>
      </c>
      <c r="C288">
        <v>1483925723</v>
      </c>
      <c r="D288">
        <v>1</v>
      </c>
      <c r="E288">
        <v>57.36</v>
      </c>
    </row>
    <row r="289" spans="1:5" hidden="1" x14ac:dyDescent="0.35">
      <c r="A289" s="5" t="s">
        <v>24</v>
      </c>
      <c r="B289">
        <v>1.0291179715017599E+18</v>
      </c>
      <c r="C289">
        <v>1483463140</v>
      </c>
      <c r="D289">
        <v>1</v>
      </c>
      <c r="E289">
        <v>56.69</v>
      </c>
    </row>
    <row r="290" spans="1:5" hidden="1" x14ac:dyDescent="0.35">
      <c r="A290" s="5" t="s">
        <v>24</v>
      </c>
      <c r="B290">
        <v>6.8414619724554742E+18</v>
      </c>
      <c r="C290">
        <v>1485892514</v>
      </c>
      <c r="D290">
        <v>1</v>
      </c>
      <c r="E290">
        <v>56</v>
      </c>
    </row>
    <row r="291" spans="1:5" hidden="1" x14ac:dyDescent="0.35">
      <c r="A291" s="5" t="s">
        <v>24</v>
      </c>
      <c r="B291">
        <v>5.2066441558294374E+18</v>
      </c>
      <c r="C291">
        <v>1485823342</v>
      </c>
      <c r="D291">
        <v>1</v>
      </c>
      <c r="E291">
        <v>55.99</v>
      </c>
    </row>
    <row r="292" spans="1:5" hidden="1" x14ac:dyDescent="0.35">
      <c r="A292" s="5" t="s">
        <v>24</v>
      </c>
      <c r="B292">
        <v>8.6929889471504563E+17</v>
      </c>
      <c r="C292">
        <v>1485391219</v>
      </c>
      <c r="D292">
        <v>1</v>
      </c>
      <c r="E292">
        <v>55.99</v>
      </c>
    </row>
    <row r="293" spans="1:5" hidden="1" x14ac:dyDescent="0.35">
      <c r="A293" s="5" t="s">
        <v>24</v>
      </c>
      <c r="B293">
        <v>6.8971673920848773E+18</v>
      </c>
      <c r="C293">
        <v>1485383389</v>
      </c>
      <c r="D293">
        <v>1</v>
      </c>
      <c r="E293">
        <v>55.99</v>
      </c>
    </row>
    <row r="294" spans="1:5" hidden="1" x14ac:dyDescent="0.35">
      <c r="A294" s="5" t="s">
        <v>24</v>
      </c>
      <c r="B294">
        <v>5.0772438936420219E+18</v>
      </c>
      <c r="C294">
        <v>1483672497</v>
      </c>
      <c r="D294">
        <v>1</v>
      </c>
      <c r="E294">
        <v>55.99</v>
      </c>
    </row>
    <row r="295" spans="1:5" hidden="1" x14ac:dyDescent="0.35">
      <c r="A295" s="5" t="s">
        <v>24</v>
      </c>
      <c r="B295">
        <v>8.5806904542723779E+18</v>
      </c>
      <c r="C295">
        <v>1485907349</v>
      </c>
      <c r="D295">
        <v>1</v>
      </c>
      <c r="E295">
        <v>55.99</v>
      </c>
    </row>
    <row r="296" spans="1:5" hidden="1" x14ac:dyDescent="0.35">
      <c r="A296" s="5" t="s">
        <v>24</v>
      </c>
      <c r="B296">
        <v>5.4801285860994908E+18</v>
      </c>
      <c r="C296">
        <v>1485922833</v>
      </c>
      <c r="D296">
        <v>1</v>
      </c>
      <c r="E296">
        <v>55.99</v>
      </c>
    </row>
    <row r="297" spans="1:5" hidden="1" x14ac:dyDescent="0.35">
      <c r="A297" s="5" t="s">
        <v>24</v>
      </c>
      <c r="B297">
        <v>8.7221347957571492E+18</v>
      </c>
      <c r="C297">
        <v>1483325386</v>
      </c>
      <c r="D297">
        <v>1</v>
      </c>
      <c r="E297">
        <v>55.99</v>
      </c>
    </row>
    <row r="298" spans="1:5" hidden="1" x14ac:dyDescent="0.35">
      <c r="A298" s="5" t="s">
        <v>24</v>
      </c>
      <c r="B298">
        <v>8.6357619561864008E+18</v>
      </c>
      <c r="C298">
        <v>1483906872</v>
      </c>
      <c r="D298">
        <v>1</v>
      </c>
      <c r="E298">
        <v>55.99</v>
      </c>
    </row>
    <row r="299" spans="1:5" hidden="1" x14ac:dyDescent="0.35">
      <c r="A299" s="5" t="s">
        <v>24</v>
      </c>
      <c r="B299">
        <v>7.3874261378062285E+17</v>
      </c>
      <c r="C299">
        <v>1484351598</v>
      </c>
      <c r="D299">
        <v>1</v>
      </c>
      <c r="E299">
        <v>55.99</v>
      </c>
    </row>
    <row r="300" spans="1:5" hidden="1" x14ac:dyDescent="0.35">
      <c r="A300" s="5" t="s">
        <v>24</v>
      </c>
      <c r="B300">
        <v>6.7024102310655314E+18</v>
      </c>
      <c r="C300">
        <v>1485015763</v>
      </c>
      <c r="D300">
        <v>1</v>
      </c>
      <c r="E300">
        <v>55.98</v>
      </c>
    </row>
    <row r="301" spans="1:5" hidden="1" x14ac:dyDescent="0.35">
      <c r="A301" s="5" t="s">
        <v>24</v>
      </c>
      <c r="B301">
        <v>8.3956086542302733E+17</v>
      </c>
      <c r="C301">
        <v>1483559151</v>
      </c>
      <c r="D301">
        <v>1</v>
      </c>
      <c r="E301">
        <v>55.16</v>
      </c>
    </row>
    <row r="302" spans="1:5" hidden="1" x14ac:dyDescent="0.35">
      <c r="A302" s="5" t="s">
        <v>24</v>
      </c>
      <c r="B302">
        <v>7.3587936879857234E+18</v>
      </c>
      <c r="C302">
        <v>1484159622</v>
      </c>
      <c r="D302">
        <v>1</v>
      </c>
      <c r="E302">
        <v>55.01</v>
      </c>
    </row>
    <row r="303" spans="1:5" hidden="1" x14ac:dyDescent="0.35">
      <c r="A303" s="5" t="s">
        <v>24</v>
      </c>
      <c r="B303">
        <v>2.5539570871292355E+18</v>
      </c>
      <c r="C303">
        <v>1485445175</v>
      </c>
      <c r="D303">
        <v>1</v>
      </c>
      <c r="E303">
        <v>53.56</v>
      </c>
    </row>
    <row r="304" spans="1:5" hidden="1" x14ac:dyDescent="0.35">
      <c r="A304" s="5" t="s">
        <v>24</v>
      </c>
      <c r="B304">
        <v>6.3311080984972073E+18</v>
      </c>
      <c r="C304">
        <v>1485711548</v>
      </c>
      <c r="D304">
        <v>1</v>
      </c>
      <c r="E304">
        <v>51.99</v>
      </c>
    </row>
    <row r="305" spans="1:5" hidden="1" x14ac:dyDescent="0.35">
      <c r="A305" s="5" t="s">
        <v>24</v>
      </c>
      <c r="B305">
        <v>4.5330500973513887E+18</v>
      </c>
      <c r="C305">
        <v>1484750238</v>
      </c>
      <c r="D305">
        <v>1</v>
      </c>
      <c r="E305">
        <v>51.97</v>
      </c>
    </row>
    <row r="306" spans="1:5" hidden="1" x14ac:dyDescent="0.35">
      <c r="A306" s="5" t="s">
        <v>24</v>
      </c>
      <c r="B306">
        <v>2.5926387291050522E+18</v>
      </c>
      <c r="C306">
        <v>1484339881</v>
      </c>
      <c r="D306">
        <v>1</v>
      </c>
      <c r="E306">
        <v>51.96</v>
      </c>
    </row>
    <row r="307" spans="1:5" hidden="1" x14ac:dyDescent="0.35">
      <c r="A307" s="5" t="s">
        <v>24</v>
      </c>
      <c r="B307">
        <v>4.301598633370091E+18</v>
      </c>
      <c r="C307">
        <v>1483550577</v>
      </c>
      <c r="D307">
        <v>1</v>
      </c>
      <c r="E307">
        <v>51.89</v>
      </c>
    </row>
    <row r="308" spans="1:5" hidden="1" x14ac:dyDescent="0.35">
      <c r="A308" s="5" t="s">
        <v>24</v>
      </c>
      <c r="B308">
        <v>9.6385183358287155E+18</v>
      </c>
      <c r="C308">
        <v>1483837417</v>
      </c>
      <c r="D308">
        <v>1</v>
      </c>
      <c r="E308">
        <v>51.02</v>
      </c>
    </row>
    <row r="309" spans="1:5" hidden="1" x14ac:dyDescent="0.35">
      <c r="A309" s="5" t="s">
        <v>24</v>
      </c>
      <c r="B309">
        <v>8.4529799521123564E+18</v>
      </c>
      <c r="C309">
        <v>1484398743</v>
      </c>
      <c r="D309">
        <v>1</v>
      </c>
      <c r="E309">
        <v>50.97</v>
      </c>
    </row>
    <row r="310" spans="1:5" hidden="1" x14ac:dyDescent="0.35">
      <c r="A310" s="5" t="s">
        <v>24</v>
      </c>
      <c r="B310">
        <v>1.9814677684676096E+16</v>
      </c>
      <c r="C310">
        <v>1484015270</v>
      </c>
      <c r="D310">
        <v>1</v>
      </c>
      <c r="E310">
        <v>50.39</v>
      </c>
    </row>
    <row r="311" spans="1:5" hidden="1" x14ac:dyDescent="0.35">
      <c r="A311" s="5" t="s">
        <v>24</v>
      </c>
      <c r="B311">
        <v>7.1129467076905892E+18</v>
      </c>
      <c r="C311">
        <v>1484668811</v>
      </c>
      <c r="D311">
        <v>1</v>
      </c>
      <c r="E311">
        <v>50.34</v>
      </c>
    </row>
    <row r="312" spans="1:5" hidden="1" x14ac:dyDescent="0.35">
      <c r="A312" s="5" t="s">
        <v>24</v>
      </c>
      <c r="B312">
        <v>9.6320552467536883E+17</v>
      </c>
      <c r="C312">
        <v>1483497073</v>
      </c>
      <c r="D312">
        <v>1</v>
      </c>
      <c r="E312">
        <v>50</v>
      </c>
    </row>
    <row r="313" spans="1:5" hidden="1" x14ac:dyDescent="0.35">
      <c r="A313" s="5" t="s">
        <v>24</v>
      </c>
      <c r="B313">
        <v>4.3911597427818097E+18</v>
      </c>
      <c r="C313">
        <v>1484034947</v>
      </c>
      <c r="D313">
        <v>1</v>
      </c>
      <c r="E313">
        <v>49.99</v>
      </c>
    </row>
    <row r="314" spans="1:5" hidden="1" x14ac:dyDescent="0.35">
      <c r="A314" s="5" t="s">
        <v>24</v>
      </c>
      <c r="B314">
        <v>2.4494256155762734E+18</v>
      </c>
      <c r="C314">
        <v>1483325141</v>
      </c>
      <c r="D314">
        <v>1</v>
      </c>
      <c r="E314">
        <v>49.96</v>
      </c>
    </row>
    <row r="315" spans="1:5" hidden="1" x14ac:dyDescent="0.35">
      <c r="A315" s="5" t="s">
        <v>24</v>
      </c>
      <c r="B315">
        <v>2.4494256155762734E+18</v>
      </c>
      <c r="C315">
        <v>1483474092</v>
      </c>
      <c r="D315">
        <v>1</v>
      </c>
      <c r="E315">
        <v>49.96</v>
      </c>
    </row>
    <row r="316" spans="1:5" hidden="1" x14ac:dyDescent="0.35">
      <c r="A316" s="5" t="s">
        <v>24</v>
      </c>
      <c r="B316">
        <v>2.4113229747243858E+18</v>
      </c>
      <c r="C316">
        <v>1485530972</v>
      </c>
      <c r="D316">
        <v>1</v>
      </c>
      <c r="E316">
        <v>49.58</v>
      </c>
    </row>
    <row r="317" spans="1:5" hidden="1" x14ac:dyDescent="0.35">
      <c r="A317" s="5" t="s">
        <v>24</v>
      </c>
      <c r="B317">
        <v>3.9762716653754808E+18</v>
      </c>
      <c r="C317">
        <v>1485188795</v>
      </c>
      <c r="D317">
        <v>1</v>
      </c>
      <c r="E317">
        <v>49.58</v>
      </c>
    </row>
    <row r="318" spans="1:5" hidden="1" x14ac:dyDescent="0.35">
      <c r="A318" s="5" t="s">
        <v>24</v>
      </c>
      <c r="B318">
        <v>5.044031393629737E+18</v>
      </c>
      <c r="C318">
        <v>1485723777</v>
      </c>
      <c r="D318">
        <v>1</v>
      </c>
      <c r="E318">
        <v>48.89</v>
      </c>
    </row>
    <row r="319" spans="1:5" hidden="1" x14ac:dyDescent="0.35">
      <c r="A319" s="5" t="s">
        <v>24</v>
      </c>
      <c r="B319">
        <v>1.3259149096419581E+18</v>
      </c>
      <c r="C319">
        <v>1483772850</v>
      </c>
      <c r="D319">
        <v>1</v>
      </c>
      <c r="E319">
        <v>48.22</v>
      </c>
    </row>
    <row r="320" spans="1:5" hidden="1" x14ac:dyDescent="0.35">
      <c r="A320" s="5" t="s">
        <v>24</v>
      </c>
      <c r="B320">
        <v>2.3089700560767355E+18</v>
      </c>
      <c r="C320">
        <v>1484162912</v>
      </c>
      <c r="D320">
        <v>1</v>
      </c>
      <c r="E320">
        <v>47.97</v>
      </c>
    </row>
    <row r="321" spans="1:5" hidden="1" x14ac:dyDescent="0.35">
      <c r="A321" s="5" t="s">
        <v>24</v>
      </c>
      <c r="B321">
        <v>4.4313131631784627E+18</v>
      </c>
      <c r="C321">
        <v>1483740727</v>
      </c>
      <c r="D321">
        <v>1</v>
      </c>
      <c r="E321">
        <v>47.97</v>
      </c>
    </row>
    <row r="322" spans="1:5" hidden="1" x14ac:dyDescent="0.35">
      <c r="A322" s="5" t="s">
        <v>24</v>
      </c>
      <c r="B322">
        <v>9.2549050445549018E+17</v>
      </c>
      <c r="C322">
        <v>1485895836</v>
      </c>
      <c r="D322">
        <v>1</v>
      </c>
      <c r="E322">
        <v>47.9</v>
      </c>
    </row>
    <row r="323" spans="1:5" hidden="1" x14ac:dyDescent="0.35">
      <c r="A323" s="5" t="s">
        <v>24</v>
      </c>
      <c r="B323">
        <v>4.1812847447326659E+18</v>
      </c>
      <c r="C323">
        <v>1485382779</v>
      </c>
      <c r="D323">
        <v>1</v>
      </c>
      <c r="E323">
        <v>47.18</v>
      </c>
    </row>
    <row r="324" spans="1:5" hidden="1" x14ac:dyDescent="0.35">
      <c r="A324" s="5" t="s">
        <v>24</v>
      </c>
      <c r="B324">
        <v>6.9083874880199066E+18</v>
      </c>
      <c r="C324">
        <v>1483559226</v>
      </c>
      <c r="D324">
        <v>1</v>
      </c>
      <c r="E324">
        <v>46.11</v>
      </c>
    </row>
    <row r="325" spans="1:5" hidden="1" x14ac:dyDescent="0.35">
      <c r="A325" s="5" t="s">
        <v>24</v>
      </c>
      <c r="B325">
        <v>7.8574884104373801E+18</v>
      </c>
      <c r="C325">
        <v>1485575531</v>
      </c>
      <c r="D325">
        <v>1</v>
      </c>
      <c r="E325">
        <v>44.97</v>
      </c>
    </row>
    <row r="326" spans="1:5" hidden="1" x14ac:dyDescent="0.35">
      <c r="A326" s="5" t="s">
        <v>24</v>
      </c>
      <c r="B326">
        <v>8.0565496645408666E+18</v>
      </c>
      <c r="C326">
        <v>1484000273</v>
      </c>
      <c r="D326">
        <v>1</v>
      </c>
      <c r="E326">
        <v>44.79</v>
      </c>
    </row>
    <row r="327" spans="1:5" hidden="1" x14ac:dyDescent="0.35">
      <c r="A327" s="5" t="s">
        <v>24</v>
      </c>
      <c r="B327">
        <v>4.7380751538730107E+18</v>
      </c>
      <c r="C327">
        <v>1483990416</v>
      </c>
      <c r="D327">
        <v>1</v>
      </c>
      <c r="E327">
        <v>44.79</v>
      </c>
    </row>
    <row r="328" spans="1:5" hidden="1" x14ac:dyDescent="0.35">
      <c r="A328" s="5" t="s">
        <v>24</v>
      </c>
      <c r="B328">
        <v>6.2873670141578176E+17</v>
      </c>
      <c r="C328">
        <v>1485322773</v>
      </c>
      <c r="D328">
        <v>1</v>
      </c>
      <c r="E328">
        <v>44.79</v>
      </c>
    </row>
    <row r="329" spans="1:5" hidden="1" x14ac:dyDescent="0.35">
      <c r="A329" s="5" t="s">
        <v>24</v>
      </c>
      <c r="B329">
        <v>4.1626417335209953E+18</v>
      </c>
      <c r="C329">
        <v>1485798037</v>
      </c>
      <c r="D329">
        <v>1</v>
      </c>
      <c r="E329">
        <v>44.79</v>
      </c>
    </row>
    <row r="330" spans="1:5" hidden="1" x14ac:dyDescent="0.35">
      <c r="A330" s="5" t="s">
        <v>24</v>
      </c>
      <c r="B330">
        <v>6.214016505412778E+18</v>
      </c>
      <c r="C330">
        <v>1484766510</v>
      </c>
      <c r="D330">
        <v>1</v>
      </c>
      <c r="E330">
        <v>44.79</v>
      </c>
    </row>
    <row r="331" spans="1:5" hidden="1" x14ac:dyDescent="0.35">
      <c r="A331" s="5" t="s">
        <v>24</v>
      </c>
      <c r="B331">
        <v>9.7157983938342339E+18</v>
      </c>
      <c r="C331">
        <v>1484756318</v>
      </c>
      <c r="D331">
        <v>1</v>
      </c>
      <c r="E331">
        <v>44.79</v>
      </c>
    </row>
    <row r="332" spans="1:5" hidden="1" x14ac:dyDescent="0.35">
      <c r="A332" s="5" t="s">
        <v>24</v>
      </c>
      <c r="B332">
        <v>3.9165917832466848E+17</v>
      </c>
      <c r="C332">
        <v>1484749718</v>
      </c>
      <c r="D332">
        <v>2</v>
      </c>
      <c r="E332">
        <v>44.79</v>
      </c>
    </row>
    <row r="333" spans="1:5" hidden="1" x14ac:dyDescent="0.35">
      <c r="A333" s="5" t="s">
        <v>24</v>
      </c>
      <c r="B333">
        <v>9.928129624940745E+17</v>
      </c>
      <c r="C333">
        <v>1483573230</v>
      </c>
      <c r="D333">
        <v>1</v>
      </c>
      <c r="E333">
        <v>44.79</v>
      </c>
    </row>
    <row r="334" spans="1:5" hidden="1" x14ac:dyDescent="0.35">
      <c r="A334" s="5" t="s">
        <v>24</v>
      </c>
      <c r="B334">
        <v>2.3758047110074158E+18</v>
      </c>
      <c r="C334">
        <v>1484680776</v>
      </c>
      <c r="D334">
        <v>1</v>
      </c>
      <c r="E334">
        <v>44.79</v>
      </c>
    </row>
    <row r="335" spans="1:5" hidden="1" x14ac:dyDescent="0.35">
      <c r="A335" s="5" t="s">
        <v>24</v>
      </c>
      <c r="B335">
        <v>7.813149961404844E+18</v>
      </c>
      <c r="C335">
        <v>1485535638</v>
      </c>
      <c r="D335">
        <v>1</v>
      </c>
      <c r="E335">
        <v>44.79</v>
      </c>
    </row>
    <row r="336" spans="1:5" hidden="1" x14ac:dyDescent="0.35">
      <c r="A336" s="5" t="s">
        <v>24</v>
      </c>
      <c r="B336">
        <v>6.9861697089540595E+17</v>
      </c>
      <c r="C336">
        <v>1485541065</v>
      </c>
      <c r="D336">
        <v>1</v>
      </c>
      <c r="E336">
        <v>44.79</v>
      </c>
    </row>
    <row r="337" spans="1:5" hidden="1" x14ac:dyDescent="0.35">
      <c r="A337" s="5" t="s">
        <v>24</v>
      </c>
      <c r="B337">
        <v>4.3532700754674698E+18</v>
      </c>
      <c r="C337">
        <v>1485364853</v>
      </c>
      <c r="D337">
        <v>1</v>
      </c>
      <c r="E337">
        <v>44.79</v>
      </c>
    </row>
    <row r="338" spans="1:5" hidden="1" x14ac:dyDescent="0.35">
      <c r="A338" s="5" t="s">
        <v>24</v>
      </c>
      <c r="B338">
        <v>5.888716568893996E+18</v>
      </c>
      <c r="C338">
        <v>1485374097</v>
      </c>
      <c r="D338">
        <v>1</v>
      </c>
      <c r="E338">
        <v>44.79</v>
      </c>
    </row>
    <row r="339" spans="1:5" hidden="1" x14ac:dyDescent="0.35">
      <c r="A339" s="5" t="s">
        <v>24</v>
      </c>
      <c r="B339">
        <v>6.3477365253994199E+18</v>
      </c>
      <c r="C339">
        <v>1483662404</v>
      </c>
      <c r="D339">
        <v>1</v>
      </c>
      <c r="E339">
        <v>44.79</v>
      </c>
    </row>
    <row r="340" spans="1:5" hidden="1" x14ac:dyDescent="0.35">
      <c r="A340" s="5" t="s">
        <v>24</v>
      </c>
      <c r="B340">
        <v>6.258496391273943E+18</v>
      </c>
      <c r="C340">
        <v>1484192802</v>
      </c>
      <c r="D340">
        <v>1</v>
      </c>
      <c r="E340">
        <v>44.79</v>
      </c>
    </row>
    <row r="341" spans="1:5" hidden="1" x14ac:dyDescent="0.35">
      <c r="A341" s="5" t="s">
        <v>24</v>
      </c>
      <c r="B341">
        <v>7.5179973162264771E+18</v>
      </c>
      <c r="C341">
        <v>1483422961</v>
      </c>
      <c r="D341">
        <v>1</v>
      </c>
      <c r="E341">
        <v>44.79</v>
      </c>
    </row>
    <row r="342" spans="1:5" hidden="1" x14ac:dyDescent="0.35">
      <c r="A342" s="5" t="s">
        <v>24</v>
      </c>
      <c r="B342">
        <v>9.5231422870270669E+18</v>
      </c>
      <c r="C342">
        <v>1483415431</v>
      </c>
      <c r="D342">
        <v>1</v>
      </c>
      <c r="E342">
        <v>44.79</v>
      </c>
    </row>
    <row r="343" spans="1:5" hidden="1" x14ac:dyDescent="0.35">
      <c r="A343" s="5" t="s">
        <v>24</v>
      </c>
      <c r="B343">
        <v>7.813149961404844E+18</v>
      </c>
      <c r="C343">
        <v>1484246986</v>
      </c>
      <c r="D343">
        <v>1</v>
      </c>
      <c r="E343">
        <v>44.79</v>
      </c>
    </row>
    <row r="344" spans="1:5" hidden="1" x14ac:dyDescent="0.35">
      <c r="A344" s="5" t="s">
        <v>24</v>
      </c>
      <c r="B344">
        <v>3.0802093540824663E+18</v>
      </c>
      <c r="C344">
        <v>1484259954</v>
      </c>
      <c r="D344">
        <v>1</v>
      </c>
      <c r="E344">
        <v>44.79</v>
      </c>
    </row>
    <row r="345" spans="1:5" hidden="1" x14ac:dyDescent="0.35">
      <c r="A345" s="5" t="s">
        <v>24</v>
      </c>
      <c r="B345">
        <v>2.9235833800854984E+18</v>
      </c>
      <c r="C345">
        <v>1485467793</v>
      </c>
      <c r="D345">
        <v>1</v>
      </c>
      <c r="E345">
        <v>44.79</v>
      </c>
    </row>
    <row r="346" spans="1:5" hidden="1" x14ac:dyDescent="0.35">
      <c r="A346" s="5" t="s">
        <v>24</v>
      </c>
      <c r="B346">
        <v>4.6332577356435277E+17</v>
      </c>
      <c r="C346">
        <v>1485471506</v>
      </c>
      <c r="D346">
        <v>1</v>
      </c>
      <c r="E346">
        <v>44.79</v>
      </c>
    </row>
    <row r="347" spans="1:5" hidden="1" x14ac:dyDescent="0.35">
      <c r="A347" s="5" t="s">
        <v>24</v>
      </c>
      <c r="B347">
        <v>4.7346644521875661E+18</v>
      </c>
      <c r="C347">
        <v>1485222490</v>
      </c>
      <c r="D347">
        <v>1</v>
      </c>
      <c r="E347">
        <v>44.79</v>
      </c>
    </row>
    <row r="348" spans="1:5" hidden="1" x14ac:dyDescent="0.35">
      <c r="A348" s="5" t="s">
        <v>24</v>
      </c>
      <c r="B348">
        <v>5.6725804982112838E+17</v>
      </c>
      <c r="C348">
        <v>1483809967</v>
      </c>
      <c r="D348">
        <v>1</v>
      </c>
      <c r="E348">
        <v>44.79</v>
      </c>
    </row>
    <row r="349" spans="1:5" hidden="1" x14ac:dyDescent="0.35">
      <c r="A349" s="5" t="s">
        <v>24</v>
      </c>
      <c r="B349">
        <v>9.9631319952390042E+18</v>
      </c>
      <c r="C349">
        <v>1485275486</v>
      </c>
      <c r="D349">
        <v>1</v>
      </c>
      <c r="E349">
        <v>44.77</v>
      </c>
    </row>
    <row r="350" spans="1:5" hidden="1" x14ac:dyDescent="0.35">
      <c r="A350" s="5" t="s">
        <v>24</v>
      </c>
      <c r="B350">
        <v>6.8216493522257705E+18</v>
      </c>
      <c r="C350">
        <v>1483462079</v>
      </c>
      <c r="D350">
        <v>1</v>
      </c>
      <c r="E350">
        <v>44.75</v>
      </c>
    </row>
    <row r="351" spans="1:5" hidden="1" x14ac:dyDescent="0.35">
      <c r="A351" s="5" t="s">
        <v>24</v>
      </c>
      <c r="B351">
        <v>2.0178472991399363E+18</v>
      </c>
      <c r="C351">
        <v>1485381477</v>
      </c>
      <c r="D351">
        <v>1</v>
      </c>
      <c r="E351">
        <v>44</v>
      </c>
    </row>
    <row r="352" spans="1:5" hidden="1" x14ac:dyDescent="0.35">
      <c r="A352" s="5" t="s">
        <v>24</v>
      </c>
      <c r="B352">
        <v>8.1006314324079258E+18</v>
      </c>
      <c r="C352">
        <v>1483646449</v>
      </c>
      <c r="D352">
        <v>1</v>
      </c>
      <c r="E352">
        <v>43.98</v>
      </c>
    </row>
    <row r="353" spans="1:5" hidden="1" x14ac:dyDescent="0.35">
      <c r="A353" s="5" t="s">
        <v>24</v>
      </c>
      <c r="B353">
        <v>4.8210288770216796E+18</v>
      </c>
      <c r="C353">
        <v>1485878576</v>
      </c>
      <c r="D353">
        <v>1</v>
      </c>
      <c r="E353">
        <v>43.98</v>
      </c>
    </row>
    <row r="354" spans="1:5" hidden="1" x14ac:dyDescent="0.35">
      <c r="A354" s="5" t="s">
        <v>24</v>
      </c>
      <c r="B354">
        <v>8.4103512167238953E+18</v>
      </c>
      <c r="C354">
        <v>1483670611</v>
      </c>
      <c r="D354">
        <v>1</v>
      </c>
      <c r="E354">
        <v>43.97</v>
      </c>
    </row>
    <row r="355" spans="1:5" hidden="1" x14ac:dyDescent="0.35">
      <c r="A355" s="5" t="s">
        <v>24</v>
      </c>
      <c r="B355">
        <v>3.0839624356614534E+17</v>
      </c>
      <c r="C355">
        <v>1484843363</v>
      </c>
      <c r="D355">
        <v>1</v>
      </c>
      <c r="E355">
        <v>43.96</v>
      </c>
    </row>
    <row r="356" spans="1:5" hidden="1" x14ac:dyDescent="0.35">
      <c r="A356" s="5" t="s">
        <v>24</v>
      </c>
      <c r="B356">
        <v>7.0917962880583066E+18</v>
      </c>
      <c r="C356">
        <v>1485541395</v>
      </c>
      <c r="D356">
        <v>1</v>
      </c>
      <c r="E356">
        <v>43.18</v>
      </c>
    </row>
    <row r="357" spans="1:5" hidden="1" x14ac:dyDescent="0.35">
      <c r="A357" s="5" t="s">
        <v>24</v>
      </c>
      <c r="B357">
        <v>6.7013292682786253E+18</v>
      </c>
      <c r="C357">
        <v>1483978416</v>
      </c>
      <c r="D357">
        <v>1</v>
      </c>
      <c r="E357">
        <v>43.16</v>
      </c>
    </row>
    <row r="358" spans="1:5" hidden="1" x14ac:dyDescent="0.35">
      <c r="A358" s="5" t="s">
        <v>24</v>
      </c>
      <c r="B358">
        <v>2.1988793492506189E+18</v>
      </c>
      <c r="C358">
        <v>1484361694</v>
      </c>
      <c r="D358">
        <v>1</v>
      </c>
      <c r="E358">
        <v>43.14</v>
      </c>
    </row>
    <row r="359" spans="1:5" hidden="1" x14ac:dyDescent="0.35">
      <c r="A359" s="5" t="s">
        <v>24</v>
      </c>
      <c r="B359">
        <v>8.0221781228127242E+18</v>
      </c>
      <c r="C359">
        <v>1483973961</v>
      </c>
      <c r="D359">
        <v>1</v>
      </c>
      <c r="E359">
        <v>43.1</v>
      </c>
    </row>
    <row r="360" spans="1:5" hidden="1" x14ac:dyDescent="0.35">
      <c r="A360" s="5" t="s">
        <v>24</v>
      </c>
      <c r="B360">
        <v>5.8924389123807142E+17</v>
      </c>
      <c r="C360">
        <v>1484021765</v>
      </c>
      <c r="D360">
        <v>1</v>
      </c>
      <c r="E360">
        <v>42.48</v>
      </c>
    </row>
    <row r="361" spans="1:5" hidden="1" x14ac:dyDescent="0.35">
      <c r="A361" s="5" t="s">
        <v>24</v>
      </c>
      <c r="B361">
        <v>5.7796474440577864E+18</v>
      </c>
      <c r="C361">
        <v>1485373505</v>
      </c>
      <c r="D361">
        <v>1</v>
      </c>
      <c r="E361">
        <v>42.37</v>
      </c>
    </row>
    <row r="362" spans="1:5" hidden="1" x14ac:dyDescent="0.35">
      <c r="A362" s="5" t="s">
        <v>24</v>
      </c>
      <c r="B362">
        <v>8.0041960576457196E+18</v>
      </c>
      <c r="C362">
        <v>1483477518</v>
      </c>
      <c r="D362">
        <v>1</v>
      </c>
      <c r="E362">
        <v>42.37</v>
      </c>
    </row>
    <row r="363" spans="1:5" hidden="1" x14ac:dyDescent="0.35">
      <c r="A363" s="5" t="s">
        <v>24</v>
      </c>
      <c r="B363">
        <v>1.3907645949370004E+18</v>
      </c>
      <c r="C363">
        <v>1483725016</v>
      </c>
      <c r="D363">
        <v>1</v>
      </c>
      <c r="E363">
        <v>42.36</v>
      </c>
    </row>
    <row r="364" spans="1:5" hidden="1" x14ac:dyDescent="0.35">
      <c r="A364" s="5" t="s">
        <v>24</v>
      </c>
      <c r="B364">
        <v>1.6852339726176614E+18</v>
      </c>
      <c r="C364">
        <v>1485764399</v>
      </c>
      <c r="D364">
        <v>1</v>
      </c>
      <c r="E364">
        <v>41.98</v>
      </c>
    </row>
    <row r="365" spans="1:5" hidden="1" x14ac:dyDescent="0.35">
      <c r="A365" s="5" t="s">
        <v>24</v>
      </c>
      <c r="B365">
        <v>8.1305870901666048E+18</v>
      </c>
      <c r="C365">
        <v>1483672878</v>
      </c>
      <c r="D365">
        <v>1</v>
      </c>
      <c r="E365">
        <v>41.59</v>
      </c>
    </row>
    <row r="366" spans="1:5" hidden="1" x14ac:dyDescent="0.35">
      <c r="A366" s="5" t="s">
        <v>24</v>
      </c>
      <c r="B366">
        <v>8.2843116075315825E+18</v>
      </c>
      <c r="C366">
        <v>1483659702</v>
      </c>
      <c r="D366">
        <v>1</v>
      </c>
      <c r="E366">
        <v>41.59</v>
      </c>
    </row>
    <row r="367" spans="1:5" hidden="1" x14ac:dyDescent="0.35">
      <c r="A367" s="5" t="s">
        <v>24</v>
      </c>
      <c r="B367">
        <v>3.3491638384946669E+17</v>
      </c>
      <c r="C367">
        <v>1484262900</v>
      </c>
      <c r="D367">
        <v>1</v>
      </c>
      <c r="E367">
        <v>41.59</v>
      </c>
    </row>
    <row r="368" spans="1:5" hidden="1" x14ac:dyDescent="0.35">
      <c r="A368" s="5" t="s">
        <v>24</v>
      </c>
      <c r="B368">
        <v>6.1360823973191014E+18</v>
      </c>
      <c r="C368">
        <v>1484964400</v>
      </c>
      <c r="D368">
        <v>1</v>
      </c>
      <c r="E368">
        <v>41.59</v>
      </c>
    </row>
    <row r="369" spans="1:5" hidden="1" x14ac:dyDescent="0.35">
      <c r="A369" s="5" t="s">
        <v>24</v>
      </c>
      <c r="B369">
        <v>7.8612687504443709E+18</v>
      </c>
      <c r="C369">
        <v>1485056607</v>
      </c>
      <c r="D369">
        <v>1</v>
      </c>
      <c r="E369">
        <v>41.56</v>
      </c>
    </row>
    <row r="370" spans="1:5" hidden="1" x14ac:dyDescent="0.35">
      <c r="A370" s="5" t="s">
        <v>24</v>
      </c>
      <c r="B370">
        <v>4.2938072463588951E+18</v>
      </c>
      <c r="C370">
        <v>1484795370</v>
      </c>
      <c r="D370">
        <v>1</v>
      </c>
      <c r="E370">
        <v>40.770000000000003</v>
      </c>
    </row>
    <row r="371" spans="1:5" hidden="1" x14ac:dyDescent="0.35">
      <c r="A371" s="5" t="s">
        <v>24</v>
      </c>
      <c r="B371">
        <v>2.4431306488490634E+18</v>
      </c>
      <c r="C371">
        <v>1484930136</v>
      </c>
      <c r="D371">
        <v>1</v>
      </c>
      <c r="E371">
        <v>40.770000000000003</v>
      </c>
    </row>
    <row r="372" spans="1:5" hidden="1" x14ac:dyDescent="0.35">
      <c r="A372" s="5" t="s">
        <v>24</v>
      </c>
      <c r="B372">
        <v>1.5277857619728813E+17</v>
      </c>
      <c r="C372">
        <v>1485840660</v>
      </c>
      <c r="D372">
        <v>1</v>
      </c>
      <c r="E372">
        <v>39.99</v>
      </c>
    </row>
    <row r="373" spans="1:5" hidden="1" x14ac:dyDescent="0.35">
      <c r="A373" s="5" t="s">
        <v>24</v>
      </c>
      <c r="B373">
        <v>7.813149961404844E+18</v>
      </c>
      <c r="C373">
        <v>1484075970</v>
      </c>
      <c r="D373">
        <v>1</v>
      </c>
      <c r="E373">
        <v>39.99</v>
      </c>
    </row>
    <row r="374" spans="1:5" hidden="1" x14ac:dyDescent="0.35">
      <c r="A374" s="5" t="s">
        <v>24</v>
      </c>
      <c r="B374">
        <v>7.7625718373704614E+17</v>
      </c>
      <c r="C374">
        <v>1484354873</v>
      </c>
      <c r="D374">
        <v>1</v>
      </c>
      <c r="E374">
        <v>39.99</v>
      </c>
    </row>
    <row r="375" spans="1:5" hidden="1" x14ac:dyDescent="0.35">
      <c r="A375" s="5" t="s">
        <v>24</v>
      </c>
      <c r="B375">
        <v>9.0029536331435151E+18</v>
      </c>
      <c r="C375">
        <v>1485891964</v>
      </c>
      <c r="D375">
        <v>1</v>
      </c>
      <c r="E375">
        <v>39.97</v>
      </c>
    </row>
    <row r="376" spans="1:5" hidden="1" x14ac:dyDescent="0.35">
      <c r="A376" s="5" t="s">
        <v>24</v>
      </c>
      <c r="B376">
        <v>1.232482218170293E+18</v>
      </c>
      <c r="C376">
        <v>1484102061</v>
      </c>
      <c r="D376">
        <v>1</v>
      </c>
      <c r="E376">
        <v>39.47</v>
      </c>
    </row>
    <row r="377" spans="1:5" hidden="1" x14ac:dyDescent="0.35">
      <c r="A377" s="5" t="s">
        <v>24</v>
      </c>
      <c r="B377">
        <v>6.0070685669435382E+18</v>
      </c>
      <c r="C377">
        <v>1483647212</v>
      </c>
      <c r="D377">
        <v>1</v>
      </c>
      <c r="E377">
        <v>39.17</v>
      </c>
    </row>
    <row r="378" spans="1:5" hidden="1" x14ac:dyDescent="0.35">
      <c r="A378" s="5" t="s">
        <v>24</v>
      </c>
      <c r="B378">
        <v>6.0873674881142784E+16</v>
      </c>
      <c r="C378">
        <v>1484258736</v>
      </c>
      <c r="D378">
        <v>1</v>
      </c>
      <c r="E378">
        <v>39.17</v>
      </c>
    </row>
    <row r="379" spans="1:5" hidden="1" x14ac:dyDescent="0.35">
      <c r="A379" s="5" t="s">
        <v>24</v>
      </c>
      <c r="B379">
        <v>3.1361717916197509E+18</v>
      </c>
      <c r="C379">
        <v>1484793371</v>
      </c>
      <c r="D379">
        <v>1</v>
      </c>
      <c r="E379">
        <v>39.14</v>
      </c>
    </row>
    <row r="380" spans="1:5" hidden="1" x14ac:dyDescent="0.35">
      <c r="A380" s="5" t="s">
        <v>24</v>
      </c>
      <c r="B380">
        <v>7.9867210646960656E+16</v>
      </c>
      <c r="C380">
        <v>1484658087</v>
      </c>
      <c r="D380">
        <v>1</v>
      </c>
      <c r="E380">
        <v>38.979999999999997</v>
      </c>
    </row>
    <row r="381" spans="1:5" hidden="1" x14ac:dyDescent="0.35">
      <c r="A381" s="5" t="s">
        <v>24</v>
      </c>
      <c r="B381">
        <v>1.5314124608915581E+18</v>
      </c>
      <c r="C381">
        <v>1483403119</v>
      </c>
      <c r="D381">
        <v>1</v>
      </c>
      <c r="E381">
        <v>38.979999999999997</v>
      </c>
    </row>
    <row r="382" spans="1:5" hidden="1" x14ac:dyDescent="0.35">
      <c r="A382" s="5" t="s">
        <v>24</v>
      </c>
      <c r="B382">
        <v>1.1223364686614336E+16</v>
      </c>
      <c r="C382">
        <v>1485789961</v>
      </c>
      <c r="D382">
        <v>1</v>
      </c>
      <c r="E382">
        <v>38.97</v>
      </c>
    </row>
    <row r="383" spans="1:5" hidden="1" x14ac:dyDescent="0.35">
      <c r="A383" s="5" t="s">
        <v>24</v>
      </c>
      <c r="B383">
        <v>3.9720314382045384E+18</v>
      </c>
      <c r="C383">
        <v>1485457608</v>
      </c>
      <c r="D383">
        <v>1</v>
      </c>
      <c r="E383">
        <v>38.35</v>
      </c>
    </row>
    <row r="384" spans="1:5" hidden="1" x14ac:dyDescent="0.35">
      <c r="A384" s="5" t="s">
        <v>24</v>
      </c>
      <c r="B384">
        <v>1.0293231500112282E+18</v>
      </c>
      <c r="C384">
        <v>1485903008</v>
      </c>
      <c r="D384">
        <v>1</v>
      </c>
      <c r="E384">
        <v>38.28</v>
      </c>
    </row>
    <row r="385" spans="1:5" hidden="1" x14ac:dyDescent="0.35">
      <c r="A385" s="5" t="s">
        <v>24</v>
      </c>
      <c r="B385">
        <v>5.7010067544061665E+18</v>
      </c>
      <c r="C385">
        <v>1483351395</v>
      </c>
      <c r="D385">
        <v>1</v>
      </c>
      <c r="E385">
        <v>37.979999999999997</v>
      </c>
    </row>
    <row r="386" spans="1:5" hidden="1" x14ac:dyDescent="0.35">
      <c r="A386" s="5" t="s">
        <v>24</v>
      </c>
      <c r="B386">
        <v>2.2657037895485965E+18</v>
      </c>
      <c r="C386">
        <v>1483295231</v>
      </c>
      <c r="D386">
        <v>1</v>
      </c>
      <c r="E386">
        <v>37.57</v>
      </c>
    </row>
    <row r="387" spans="1:5" hidden="1" x14ac:dyDescent="0.35">
      <c r="A387" s="5" t="s">
        <v>24</v>
      </c>
      <c r="B387">
        <v>3.1189416018700867E+18</v>
      </c>
      <c r="C387">
        <v>1484712229</v>
      </c>
      <c r="D387">
        <v>1</v>
      </c>
      <c r="E387">
        <v>36.78</v>
      </c>
    </row>
    <row r="388" spans="1:5" hidden="1" x14ac:dyDescent="0.35">
      <c r="A388" s="5" t="s">
        <v>24</v>
      </c>
      <c r="B388">
        <v>4.6059012702559712E+17</v>
      </c>
      <c r="C388">
        <v>1484317916</v>
      </c>
      <c r="D388">
        <v>1</v>
      </c>
      <c r="E388">
        <v>36</v>
      </c>
    </row>
    <row r="389" spans="1:5" hidden="1" x14ac:dyDescent="0.35">
      <c r="A389" s="5" t="s">
        <v>24</v>
      </c>
      <c r="B389">
        <v>3.7692160086404393E+18</v>
      </c>
      <c r="C389">
        <v>1484719700</v>
      </c>
      <c r="D389">
        <v>1</v>
      </c>
      <c r="E389">
        <v>35.979999999999997</v>
      </c>
    </row>
    <row r="390" spans="1:5" hidden="1" x14ac:dyDescent="0.35">
      <c r="A390" s="5" t="s">
        <v>24</v>
      </c>
      <c r="B390">
        <v>2.1079728797474134E+17</v>
      </c>
      <c r="C390">
        <v>1483636028</v>
      </c>
      <c r="D390">
        <v>1</v>
      </c>
      <c r="E390">
        <v>35.97</v>
      </c>
    </row>
    <row r="391" spans="1:5" hidden="1" x14ac:dyDescent="0.35">
      <c r="A391" s="5" t="s">
        <v>24</v>
      </c>
      <c r="B391">
        <v>7.6375837301815327E+18</v>
      </c>
      <c r="C391">
        <v>1485205643</v>
      </c>
      <c r="D391">
        <v>1</v>
      </c>
      <c r="E391">
        <v>35.97</v>
      </c>
    </row>
    <row r="392" spans="1:5" hidden="1" x14ac:dyDescent="0.35">
      <c r="A392" s="5" t="s">
        <v>24</v>
      </c>
      <c r="B392">
        <v>3.0857160232089933E+18</v>
      </c>
      <c r="C392">
        <v>1485559765</v>
      </c>
      <c r="D392">
        <v>1</v>
      </c>
      <c r="E392">
        <v>35.89</v>
      </c>
    </row>
    <row r="393" spans="1:5" hidden="1" x14ac:dyDescent="0.35">
      <c r="A393" s="5" t="s">
        <v>24</v>
      </c>
      <c r="B393">
        <v>6.0058469419997245E+18</v>
      </c>
      <c r="C393">
        <v>1483951382</v>
      </c>
      <c r="D393">
        <v>1</v>
      </c>
      <c r="E393">
        <v>35.18</v>
      </c>
    </row>
    <row r="394" spans="1:5" hidden="1" x14ac:dyDescent="0.35">
      <c r="A394" s="5" t="s">
        <v>24</v>
      </c>
      <c r="B394">
        <v>7.2983364947404841E+18</v>
      </c>
      <c r="C394">
        <v>1483765055</v>
      </c>
      <c r="D394">
        <v>1</v>
      </c>
      <c r="E394">
        <v>35.159999999999997</v>
      </c>
    </row>
    <row r="395" spans="1:5" hidden="1" x14ac:dyDescent="0.35">
      <c r="A395" s="5" t="s">
        <v>24</v>
      </c>
      <c r="B395">
        <v>1.4967700859532749E+18</v>
      </c>
      <c r="C395">
        <v>1485194990</v>
      </c>
      <c r="D395">
        <v>1</v>
      </c>
      <c r="E395">
        <v>34.99</v>
      </c>
    </row>
    <row r="396" spans="1:5" hidden="1" x14ac:dyDescent="0.35">
      <c r="A396" s="5" t="s">
        <v>24</v>
      </c>
      <c r="B396">
        <v>8.2845191615117189E+18</v>
      </c>
      <c r="C396">
        <v>1484687269</v>
      </c>
      <c r="D396">
        <v>1</v>
      </c>
      <c r="E396">
        <v>34.979999999999997</v>
      </c>
    </row>
    <row r="397" spans="1:5" hidden="1" x14ac:dyDescent="0.35">
      <c r="A397" s="5" t="s">
        <v>24</v>
      </c>
      <c r="B397">
        <v>1.7584036034140081E+18</v>
      </c>
      <c r="C397">
        <v>1484861448</v>
      </c>
      <c r="D397">
        <v>1</v>
      </c>
      <c r="E397">
        <v>34.49</v>
      </c>
    </row>
    <row r="398" spans="1:5" hidden="1" x14ac:dyDescent="0.35">
      <c r="A398" s="5" t="s">
        <v>24</v>
      </c>
      <c r="B398">
        <v>8.50572817295088E+16</v>
      </c>
      <c r="C398">
        <v>1483421832</v>
      </c>
      <c r="D398">
        <v>1</v>
      </c>
      <c r="E398">
        <v>34.369999999999997</v>
      </c>
    </row>
    <row r="399" spans="1:5" hidden="1" x14ac:dyDescent="0.35">
      <c r="A399" s="5" t="s">
        <v>24</v>
      </c>
      <c r="B399">
        <v>4.846439934286423E+18</v>
      </c>
      <c r="C399">
        <v>1484268703</v>
      </c>
      <c r="D399">
        <v>1</v>
      </c>
      <c r="E399">
        <v>33.96</v>
      </c>
    </row>
    <row r="400" spans="1:5" hidden="1" x14ac:dyDescent="0.35">
      <c r="A400" s="5" t="s">
        <v>24</v>
      </c>
      <c r="B400">
        <v>7.3375703793159488E+17</v>
      </c>
      <c r="C400">
        <v>1484702501</v>
      </c>
      <c r="D400">
        <v>1</v>
      </c>
      <c r="E400">
        <v>33.56</v>
      </c>
    </row>
    <row r="401" spans="1:5" hidden="1" x14ac:dyDescent="0.35">
      <c r="A401" s="5" t="s">
        <v>24</v>
      </c>
      <c r="B401">
        <v>6.50569598002718E+18</v>
      </c>
      <c r="C401">
        <v>1483647945</v>
      </c>
      <c r="D401">
        <v>1</v>
      </c>
      <c r="E401">
        <v>33.17</v>
      </c>
    </row>
    <row r="402" spans="1:5" hidden="1" x14ac:dyDescent="0.35">
      <c r="A402" s="5" t="s">
        <v>24</v>
      </c>
      <c r="B402">
        <v>9.6337189160741315E+18</v>
      </c>
      <c r="C402">
        <v>1483830613</v>
      </c>
      <c r="D402">
        <v>1</v>
      </c>
      <c r="E402">
        <v>32.96</v>
      </c>
    </row>
    <row r="403" spans="1:5" hidden="1" x14ac:dyDescent="0.35">
      <c r="A403" s="5" t="s">
        <v>24</v>
      </c>
      <c r="B403">
        <v>9.0776491489746135E+18</v>
      </c>
      <c r="C403">
        <v>1485812515</v>
      </c>
      <c r="D403">
        <v>1</v>
      </c>
      <c r="E403">
        <v>32.78</v>
      </c>
    </row>
    <row r="404" spans="1:5" hidden="1" x14ac:dyDescent="0.35">
      <c r="A404" s="5" t="s">
        <v>24</v>
      </c>
      <c r="B404">
        <v>1.738639015522943E+17</v>
      </c>
      <c r="C404">
        <v>1484256466</v>
      </c>
      <c r="D404">
        <v>1</v>
      </c>
      <c r="E404">
        <v>32.76</v>
      </c>
    </row>
    <row r="405" spans="1:5" hidden="1" x14ac:dyDescent="0.35">
      <c r="A405" s="5" t="s">
        <v>24</v>
      </c>
      <c r="B405">
        <v>4.9857036298078106E+18</v>
      </c>
      <c r="C405">
        <v>1485474927</v>
      </c>
      <c r="D405">
        <v>1</v>
      </c>
      <c r="E405">
        <v>31.98</v>
      </c>
    </row>
    <row r="406" spans="1:5" hidden="1" x14ac:dyDescent="0.35">
      <c r="A406" s="5" t="s">
        <v>24</v>
      </c>
      <c r="B406">
        <v>6.5268613316955008E+17</v>
      </c>
      <c r="C406">
        <v>1485201894</v>
      </c>
      <c r="D406">
        <v>1</v>
      </c>
      <c r="E406">
        <v>31.98</v>
      </c>
    </row>
    <row r="407" spans="1:5" hidden="1" x14ac:dyDescent="0.35">
      <c r="A407" s="5" t="s">
        <v>24</v>
      </c>
      <c r="B407">
        <v>5.2162586833478062E+18</v>
      </c>
      <c r="C407">
        <v>1484797317</v>
      </c>
      <c r="D407">
        <v>1</v>
      </c>
      <c r="E407">
        <v>31.97</v>
      </c>
    </row>
    <row r="408" spans="1:5" hidden="1" x14ac:dyDescent="0.35">
      <c r="A408" s="5" t="s">
        <v>24</v>
      </c>
      <c r="B408">
        <v>4.4345468245640018E+18</v>
      </c>
      <c r="C408">
        <v>1483835453</v>
      </c>
      <c r="D408">
        <v>1</v>
      </c>
      <c r="E408">
        <v>31.97</v>
      </c>
    </row>
    <row r="409" spans="1:5" hidden="1" x14ac:dyDescent="0.35">
      <c r="A409" s="5" t="s">
        <v>24</v>
      </c>
      <c r="B409">
        <v>5.4265336184464794E+18</v>
      </c>
      <c r="C409">
        <v>1484957767</v>
      </c>
      <c r="D409">
        <v>1</v>
      </c>
      <c r="E409">
        <v>31.18</v>
      </c>
    </row>
    <row r="410" spans="1:5" hidden="1" x14ac:dyDescent="0.35">
      <c r="A410" s="5" t="s">
        <v>24</v>
      </c>
      <c r="B410">
        <v>7.9088827488350771E+18</v>
      </c>
      <c r="C410">
        <v>1484865190</v>
      </c>
      <c r="D410">
        <v>1</v>
      </c>
      <c r="E410">
        <v>31.18</v>
      </c>
    </row>
    <row r="411" spans="1:5" hidden="1" x14ac:dyDescent="0.35">
      <c r="A411" s="5" t="s">
        <v>24</v>
      </c>
      <c r="B411">
        <v>9.9815622219736084E+18</v>
      </c>
      <c r="C411">
        <v>1483576938</v>
      </c>
      <c r="D411">
        <v>1</v>
      </c>
      <c r="E411">
        <v>30.75</v>
      </c>
    </row>
    <row r="412" spans="1:5" hidden="1" x14ac:dyDescent="0.35">
      <c r="A412" s="5" t="s">
        <v>24</v>
      </c>
      <c r="B412">
        <v>8.9465145549866701E+18</v>
      </c>
      <c r="C412">
        <v>1485446384</v>
      </c>
      <c r="D412">
        <v>1</v>
      </c>
      <c r="E412">
        <v>30.72</v>
      </c>
    </row>
    <row r="413" spans="1:5" hidden="1" x14ac:dyDescent="0.35">
      <c r="A413" s="5" t="s">
        <v>24</v>
      </c>
      <c r="B413">
        <v>3.841458002774357E+18</v>
      </c>
      <c r="C413">
        <v>1485749109</v>
      </c>
      <c r="D413">
        <v>1</v>
      </c>
      <c r="E413">
        <v>30.39</v>
      </c>
    </row>
    <row r="414" spans="1:5" hidden="1" x14ac:dyDescent="0.35">
      <c r="A414" s="5" t="s">
        <v>24</v>
      </c>
      <c r="B414">
        <v>1.7024742135341532E+18</v>
      </c>
      <c r="C414">
        <v>1483413876</v>
      </c>
      <c r="D414">
        <v>1</v>
      </c>
      <c r="E414">
        <v>30.39</v>
      </c>
    </row>
    <row r="415" spans="1:5" hidden="1" x14ac:dyDescent="0.35">
      <c r="A415" s="5" t="s">
        <v>24</v>
      </c>
      <c r="B415">
        <v>4.6475059148391803E+18</v>
      </c>
      <c r="C415">
        <v>1485917091</v>
      </c>
      <c r="D415">
        <v>1</v>
      </c>
      <c r="E415">
        <v>30.39</v>
      </c>
    </row>
    <row r="416" spans="1:5" hidden="1" x14ac:dyDescent="0.35">
      <c r="A416" s="5" t="s">
        <v>24</v>
      </c>
      <c r="B416">
        <v>1.627208831212926E+18</v>
      </c>
      <c r="C416">
        <v>1485477973</v>
      </c>
      <c r="D416">
        <v>1</v>
      </c>
      <c r="E416">
        <v>30.39</v>
      </c>
    </row>
    <row r="417" spans="1:5" hidden="1" x14ac:dyDescent="0.35">
      <c r="A417" s="5" t="s">
        <v>24</v>
      </c>
      <c r="B417">
        <v>6.27222046772438E+16</v>
      </c>
      <c r="C417">
        <v>1485456962</v>
      </c>
      <c r="D417">
        <v>1</v>
      </c>
      <c r="E417">
        <v>30.39</v>
      </c>
    </row>
    <row r="418" spans="1:5" hidden="1" x14ac:dyDescent="0.35">
      <c r="A418" s="5" t="s">
        <v>24</v>
      </c>
      <c r="B418">
        <v>1.6395890472633766E+18</v>
      </c>
      <c r="C418">
        <v>1484259363</v>
      </c>
      <c r="D418">
        <v>1</v>
      </c>
      <c r="E418">
        <v>30.38</v>
      </c>
    </row>
    <row r="419" spans="1:5" hidden="1" x14ac:dyDescent="0.35">
      <c r="A419" s="5" t="s">
        <v>24</v>
      </c>
      <c r="B419">
        <v>4.4260595301555261E+18</v>
      </c>
      <c r="C419">
        <v>1483855314</v>
      </c>
      <c r="D419">
        <v>1</v>
      </c>
      <c r="E419">
        <v>30.38</v>
      </c>
    </row>
    <row r="420" spans="1:5" hidden="1" x14ac:dyDescent="0.35">
      <c r="A420" s="5" t="s">
        <v>24</v>
      </c>
      <c r="B420">
        <v>9.5351657673991762E+18</v>
      </c>
      <c r="C420">
        <v>1483923585</v>
      </c>
      <c r="D420">
        <v>1</v>
      </c>
      <c r="E420">
        <v>30.38</v>
      </c>
    </row>
    <row r="421" spans="1:5" hidden="1" x14ac:dyDescent="0.35">
      <c r="A421" s="5" t="s">
        <v>24</v>
      </c>
      <c r="B421">
        <v>6.4170283325593006E+18</v>
      </c>
      <c r="C421">
        <v>1485547951</v>
      </c>
      <c r="D421">
        <v>1</v>
      </c>
      <c r="E421">
        <v>29.98</v>
      </c>
    </row>
    <row r="422" spans="1:5" hidden="1" x14ac:dyDescent="0.35">
      <c r="A422" s="5" t="s">
        <v>24</v>
      </c>
      <c r="B422">
        <v>3.4044355475628268E+18</v>
      </c>
      <c r="C422">
        <v>1485894835</v>
      </c>
      <c r="D422">
        <v>1</v>
      </c>
      <c r="E422">
        <v>29.98</v>
      </c>
    </row>
    <row r="423" spans="1:5" hidden="1" x14ac:dyDescent="0.35">
      <c r="A423" s="5" t="s">
        <v>24</v>
      </c>
      <c r="B423">
        <v>5.4391506396728032E+16</v>
      </c>
      <c r="C423">
        <v>1485194006</v>
      </c>
      <c r="D423">
        <v>1</v>
      </c>
      <c r="E423">
        <v>29.9</v>
      </c>
    </row>
    <row r="424" spans="1:5" hidden="1" x14ac:dyDescent="0.35">
      <c r="A424" s="5" t="s">
        <v>24</v>
      </c>
      <c r="B424">
        <v>9.7151830701926728E+18</v>
      </c>
      <c r="C424">
        <v>1485798804</v>
      </c>
      <c r="D424">
        <v>1</v>
      </c>
      <c r="E424">
        <v>29.58</v>
      </c>
    </row>
    <row r="425" spans="1:5" hidden="1" x14ac:dyDescent="0.35">
      <c r="A425" s="5" t="s">
        <v>24</v>
      </c>
      <c r="B425">
        <v>2.3325366766019031E+18</v>
      </c>
      <c r="C425">
        <v>1483992301</v>
      </c>
      <c r="D425">
        <v>1</v>
      </c>
      <c r="E425">
        <v>28.98</v>
      </c>
    </row>
    <row r="426" spans="1:5" hidden="1" x14ac:dyDescent="0.35">
      <c r="A426" s="5" t="s">
        <v>24</v>
      </c>
      <c r="B426">
        <v>6.6202249853501133E+18</v>
      </c>
      <c r="C426">
        <v>1485188835</v>
      </c>
      <c r="D426">
        <v>1</v>
      </c>
      <c r="E426">
        <v>28.98</v>
      </c>
    </row>
    <row r="427" spans="1:5" hidden="1" x14ac:dyDescent="0.35">
      <c r="A427" s="5" t="s">
        <v>24</v>
      </c>
      <c r="B427">
        <v>5.5064326275403766E+18</v>
      </c>
      <c r="C427">
        <v>1483764172</v>
      </c>
      <c r="D427">
        <v>1</v>
      </c>
      <c r="E427">
        <v>28.9</v>
      </c>
    </row>
    <row r="428" spans="1:5" hidden="1" x14ac:dyDescent="0.35">
      <c r="A428" s="5" t="s">
        <v>24</v>
      </c>
      <c r="B428">
        <v>3.2391210262063022E+18</v>
      </c>
      <c r="C428">
        <v>1484076476</v>
      </c>
      <c r="D428">
        <v>1</v>
      </c>
      <c r="E428">
        <v>28.78</v>
      </c>
    </row>
    <row r="429" spans="1:5" hidden="1" x14ac:dyDescent="0.35">
      <c r="A429" s="5" t="s">
        <v>24</v>
      </c>
      <c r="B429">
        <v>7.3845125964112704E+17</v>
      </c>
      <c r="C429">
        <v>1485213821</v>
      </c>
      <c r="D429">
        <v>1</v>
      </c>
      <c r="E429">
        <v>28.78</v>
      </c>
    </row>
    <row r="430" spans="1:5" hidden="1" x14ac:dyDescent="0.35">
      <c r="A430" s="5" t="s">
        <v>24</v>
      </c>
      <c r="B430">
        <v>2.4725579067754076E+16</v>
      </c>
      <c r="C430">
        <v>1483638411</v>
      </c>
      <c r="D430">
        <v>1</v>
      </c>
      <c r="E430">
        <v>28.76</v>
      </c>
    </row>
    <row r="431" spans="1:5" hidden="1" x14ac:dyDescent="0.35">
      <c r="A431" s="5" t="s">
        <v>24</v>
      </c>
      <c r="B431">
        <v>5.1814061242492948E+18</v>
      </c>
      <c r="C431">
        <v>1485623355</v>
      </c>
      <c r="D431">
        <v>1</v>
      </c>
      <c r="E431">
        <v>27.98</v>
      </c>
    </row>
    <row r="432" spans="1:5" hidden="1" x14ac:dyDescent="0.35">
      <c r="A432" s="5" t="s">
        <v>24</v>
      </c>
      <c r="B432">
        <v>7.7086303948106516E+18</v>
      </c>
      <c r="C432">
        <v>1483377733</v>
      </c>
      <c r="D432">
        <v>1</v>
      </c>
      <c r="E432">
        <v>27.97</v>
      </c>
    </row>
    <row r="433" spans="1:5" hidden="1" x14ac:dyDescent="0.35">
      <c r="A433" s="5" t="s">
        <v>24</v>
      </c>
      <c r="B433">
        <v>6.8361073067812086E+18</v>
      </c>
      <c r="C433">
        <v>1483737767</v>
      </c>
      <c r="D433">
        <v>1</v>
      </c>
      <c r="E433">
        <v>27.96</v>
      </c>
    </row>
    <row r="434" spans="1:5" hidden="1" x14ac:dyDescent="0.35">
      <c r="A434" s="5" t="s">
        <v>24</v>
      </c>
      <c r="B434">
        <v>8.6689023160366111E+18</v>
      </c>
      <c r="C434">
        <v>1485288191</v>
      </c>
      <c r="D434">
        <v>1</v>
      </c>
      <c r="E434">
        <v>27.85</v>
      </c>
    </row>
    <row r="435" spans="1:5" hidden="1" x14ac:dyDescent="0.35">
      <c r="A435" s="5" t="s">
        <v>24</v>
      </c>
      <c r="B435">
        <v>8.4027551521405542E+17</v>
      </c>
      <c r="C435">
        <v>1483382120</v>
      </c>
      <c r="D435">
        <v>1</v>
      </c>
      <c r="E435">
        <v>27.19</v>
      </c>
    </row>
    <row r="436" spans="1:5" hidden="1" x14ac:dyDescent="0.35">
      <c r="A436" s="5" t="s">
        <v>24</v>
      </c>
      <c r="B436">
        <v>6.8922149330119642E+17</v>
      </c>
      <c r="C436">
        <v>1483496326</v>
      </c>
      <c r="D436">
        <v>1</v>
      </c>
      <c r="E436">
        <v>27.19</v>
      </c>
    </row>
    <row r="437" spans="1:5" hidden="1" x14ac:dyDescent="0.35">
      <c r="A437" s="5" t="s">
        <v>24</v>
      </c>
      <c r="B437">
        <v>1.3369224039886072E+18</v>
      </c>
      <c r="C437">
        <v>1483989371</v>
      </c>
      <c r="D437">
        <v>1</v>
      </c>
      <c r="E437">
        <v>27.18</v>
      </c>
    </row>
    <row r="438" spans="1:5" hidden="1" x14ac:dyDescent="0.35">
      <c r="A438" s="5" t="s">
        <v>24</v>
      </c>
      <c r="B438">
        <v>7.4430760359866893E+17</v>
      </c>
      <c r="C438">
        <v>1484766245</v>
      </c>
      <c r="D438">
        <v>2</v>
      </c>
      <c r="E438">
        <v>27.18</v>
      </c>
    </row>
    <row r="439" spans="1:5" hidden="1" x14ac:dyDescent="0.35">
      <c r="A439" s="5" t="s">
        <v>24</v>
      </c>
      <c r="B439">
        <v>1.0043877318683226E+18</v>
      </c>
      <c r="C439">
        <v>1485132761</v>
      </c>
      <c r="D439">
        <v>1</v>
      </c>
      <c r="E439">
        <v>27.18</v>
      </c>
    </row>
    <row r="440" spans="1:5" hidden="1" x14ac:dyDescent="0.35">
      <c r="A440" s="5" t="s">
        <v>24</v>
      </c>
      <c r="B440">
        <v>9.3329769683428577E+18</v>
      </c>
      <c r="C440">
        <v>1484166595</v>
      </c>
      <c r="D440">
        <v>1</v>
      </c>
      <c r="E440">
        <v>27.18</v>
      </c>
    </row>
    <row r="441" spans="1:5" hidden="1" x14ac:dyDescent="0.35">
      <c r="A441" s="5" t="s">
        <v>24</v>
      </c>
      <c r="B441">
        <v>8.9188758461262336E+18</v>
      </c>
      <c r="C441">
        <v>1485198154</v>
      </c>
      <c r="D441">
        <v>1</v>
      </c>
      <c r="E441">
        <v>27.18</v>
      </c>
    </row>
    <row r="442" spans="1:5" hidden="1" x14ac:dyDescent="0.35">
      <c r="A442" s="5" t="s">
        <v>24</v>
      </c>
      <c r="B442">
        <v>5.289333804968199E+17</v>
      </c>
      <c r="C442">
        <v>1483466900</v>
      </c>
      <c r="D442">
        <v>1</v>
      </c>
      <c r="E442">
        <v>27.18</v>
      </c>
    </row>
    <row r="443" spans="1:5" hidden="1" x14ac:dyDescent="0.35">
      <c r="A443" s="5" t="s">
        <v>24</v>
      </c>
      <c r="B443">
        <v>8.4598890740872307E+17</v>
      </c>
      <c r="C443">
        <v>1485650294</v>
      </c>
      <c r="D443">
        <v>1</v>
      </c>
      <c r="E443">
        <v>26.98</v>
      </c>
    </row>
    <row r="444" spans="1:5" hidden="1" x14ac:dyDescent="0.35">
      <c r="A444" s="5" t="s">
        <v>24</v>
      </c>
      <c r="B444">
        <v>6.8437376798757356E+18</v>
      </c>
      <c r="C444">
        <v>1484193628</v>
      </c>
      <c r="D444">
        <v>1</v>
      </c>
      <c r="E444">
        <v>26.98</v>
      </c>
    </row>
    <row r="445" spans="1:5" hidden="1" x14ac:dyDescent="0.35">
      <c r="A445" s="5" t="s">
        <v>24</v>
      </c>
      <c r="B445">
        <v>4.6057322838872248E+18</v>
      </c>
      <c r="C445">
        <v>1484073326</v>
      </c>
      <c r="D445">
        <v>1</v>
      </c>
      <c r="E445">
        <v>26.37</v>
      </c>
    </row>
    <row r="446" spans="1:5" hidden="1" x14ac:dyDescent="0.35">
      <c r="A446" s="5" t="s">
        <v>24</v>
      </c>
      <c r="B446">
        <v>8.9861795099913155E+18</v>
      </c>
      <c r="C446">
        <v>1484943301</v>
      </c>
      <c r="D446">
        <v>1</v>
      </c>
      <c r="E446">
        <v>26.37</v>
      </c>
    </row>
    <row r="447" spans="1:5" hidden="1" x14ac:dyDescent="0.35">
      <c r="A447" s="5" t="s">
        <v>24</v>
      </c>
      <c r="B447">
        <v>2.0029415844513669E+18</v>
      </c>
      <c r="C447">
        <v>1484944068</v>
      </c>
      <c r="D447">
        <v>2</v>
      </c>
      <c r="E447">
        <v>26.31</v>
      </c>
    </row>
    <row r="448" spans="1:5" hidden="1" x14ac:dyDescent="0.35">
      <c r="A448" s="5" t="s">
        <v>24</v>
      </c>
      <c r="B448">
        <v>2.8593305757161769E+18</v>
      </c>
      <c r="C448">
        <v>1483642131</v>
      </c>
      <c r="D448">
        <v>1</v>
      </c>
      <c r="E448">
        <v>25.98</v>
      </c>
    </row>
    <row r="449" spans="1:5" hidden="1" x14ac:dyDescent="0.35">
      <c r="A449" s="5" t="s">
        <v>24</v>
      </c>
      <c r="B449">
        <v>7.2431745007749315E+18</v>
      </c>
      <c r="C449">
        <v>1483317147</v>
      </c>
      <c r="D449">
        <v>1</v>
      </c>
      <c r="E449">
        <v>25.98</v>
      </c>
    </row>
    <row r="450" spans="1:5" hidden="1" x14ac:dyDescent="0.35">
      <c r="A450" s="5" t="s">
        <v>24</v>
      </c>
      <c r="B450">
        <v>9.3325596199408865E+18</v>
      </c>
      <c r="C450">
        <v>1483468471</v>
      </c>
      <c r="D450">
        <v>1</v>
      </c>
      <c r="E450">
        <v>25.54</v>
      </c>
    </row>
    <row r="451" spans="1:5" hidden="1" x14ac:dyDescent="0.35">
      <c r="A451" s="5" t="s">
        <v>24</v>
      </c>
      <c r="B451">
        <v>2.607736667163691E+18</v>
      </c>
      <c r="C451">
        <v>1485797667</v>
      </c>
      <c r="D451">
        <v>1</v>
      </c>
      <c r="E451">
        <v>25.48</v>
      </c>
    </row>
    <row r="452" spans="1:5" hidden="1" x14ac:dyDescent="0.35">
      <c r="A452" s="5" t="s">
        <v>24</v>
      </c>
      <c r="B452">
        <v>2.6206148558352584E+18</v>
      </c>
      <c r="C452">
        <v>1485798049</v>
      </c>
      <c r="D452">
        <v>1</v>
      </c>
      <c r="E452">
        <v>25.47</v>
      </c>
    </row>
    <row r="453" spans="1:5" hidden="1" x14ac:dyDescent="0.35">
      <c r="A453" s="5" t="s">
        <v>24</v>
      </c>
      <c r="B453">
        <v>7.6348970858665462E+18</v>
      </c>
      <c r="C453">
        <v>1483641292</v>
      </c>
      <c r="D453">
        <v>1</v>
      </c>
      <c r="E453">
        <v>25</v>
      </c>
    </row>
    <row r="454" spans="1:5" hidden="1" x14ac:dyDescent="0.35">
      <c r="A454" s="5" t="s">
        <v>24</v>
      </c>
      <c r="B454">
        <v>3.5154533781861048E+18</v>
      </c>
      <c r="C454">
        <v>1484799312</v>
      </c>
      <c r="D454">
        <v>1</v>
      </c>
      <c r="E454">
        <v>24.99</v>
      </c>
    </row>
    <row r="455" spans="1:5" hidden="1" x14ac:dyDescent="0.35">
      <c r="A455" s="5" t="s">
        <v>24</v>
      </c>
      <c r="B455">
        <v>9.2054963222743613E+18</v>
      </c>
      <c r="C455">
        <v>1483380012</v>
      </c>
      <c r="D455">
        <v>1</v>
      </c>
      <c r="E455">
        <v>24.99</v>
      </c>
    </row>
    <row r="456" spans="1:5" hidden="1" x14ac:dyDescent="0.35">
      <c r="A456" s="5" t="s">
        <v>24</v>
      </c>
      <c r="B456">
        <v>4.2908313025419668E+18</v>
      </c>
      <c r="C456">
        <v>1485456771</v>
      </c>
      <c r="D456">
        <v>1</v>
      </c>
      <c r="E456">
        <v>24.99</v>
      </c>
    </row>
    <row r="457" spans="1:5" hidden="1" x14ac:dyDescent="0.35">
      <c r="A457" s="5" t="s">
        <v>24</v>
      </c>
      <c r="B457">
        <v>9.2935758408194355E+18</v>
      </c>
      <c r="C457">
        <v>1484925366</v>
      </c>
      <c r="D457">
        <v>1</v>
      </c>
      <c r="E457">
        <v>24.99</v>
      </c>
    </row>
    <row r="458" spans="1:5" hidden="1" x14ac:dyDescent="0.35">
      <c r="A458" s="5" t="s">
        <v>24</v>
      </c>
      <c r="B458">
        <v>6.7592101404073134E+18</v>
      </c>
      <c r="C458">
        <v>1484926947</v>
      </c>
      <c r="D458">
        <v>1</v>
      </c>
      <c r="E458">
        <v>24.99</v>
      </c>
    </row>
    <row r="459" spans="1:5" hidden="1" x14ac:dyDescent="0.35">
      <c r="A459" s="5" t="s">
        <v>24</v>
      </c>
      <c r="B459">
        <v>6.2734543344663388E+18</v>
      </c>
      <c r="C459">
        <v>1484346211</v>
      </c>
      <c r="D459">
        <v>1</v>
      </c>
      <c r="E459">
        <v>24.99</v>
      </c>
    </row>
    <row r="460" spans="1:5" hidden="1" x14ac:dyDescent="0.35">
      <c r="A460" s="5" t="s">
        <v>24</v>
      </c>
      <c r="B460">
        <v>9.015377887977643E+18</v>
      </c>
      <c r="C460">
        <v>1484683824</v>
      </c>
      <c r="D460">
        <v>1</v>
      </c>
      <c r="E460">
        <v>24.47</v>
      </c>
    </row>
    <row r="461" spans="1:5" hidden="1" x14ac:dyDescent="0.35">
      <c r="A461" s="5" t="s">
        <v>24</v>
      </c>
      <c r="B461">
        <v>2.1070667284001938E+18</v>
      </c>
      <c r="C461">
        <v>1483674920</v>
      </c>
      <c r="D461">
        <v>1</v>
      </c>
      <c r="E461">
        <v>23.99</v>
      </c>
    </row>
    <row r="462" spans="1:5" hidden="1" x14ac:dyDescent="0.35">
      <c r="A462" s="5" t="s">
        <v>24</v>
      </c>
      <c r="B462">
        <v>6.1892085087294528E+16</v>
      </c>
      <c r="C462">
        <v>1485884382</v>
      </c>
      <c r="D462">
        <v>1</v>
      </c>
      <c r="E462">
        <v>23.99</v>
      </c>
    </row>
    <row r="463" spans="1:5" hidden="1" x14ac:dyDescent="0.35">
      <c r="A463" s="5" t="s">
        <v>24</v>
      </c>
      <c r="B463">
        <v>2.8299638742750413E+18</v>
      </c>
      <c r="C463">
        <v>1483986968</v>
      </c>
      <c r="D463">
        <v>1</v>
      </c>
      <c r="E463">
        <v>23.98</v>
      </c>
    </row>
    <row r="464" spans="1:5" hidden="1" x14ac:dyDescent="0.35">
      <c r="A464" s="5" t="s">
        <v>24</v>
      </c>
      <c r="B464">
        <v>5.3689755633336084E+18</v>
      </c>
      <c r="C464">
        <v>1485868344</v>
      </c>
      <c r="D464">
        <v>1</v>
      </c>
      <c r="E464">
        <v>23.97</v>
      </c>
    </row>
    <row r="465" spans="1:5" hidden="1" x14ac:dyDescent="0.35">
      <c r="A465" s="5" t="s">
        <v>24</v>
      </c>
      <c r="B465">
        <v>9.8946568939937833E+18</v>
      </c>
      <c r="C465">
        <v>1485404785</v>
      </c>
      <c r="D465">
        <v>1</v>
      </c>
      <c r="E465">
        <v>23.95</v>
      </c>
    </row>
    <row r="466" spans="1:5" hidden="1" x14ac:dyDescent="0.35">
      <c r="A466" s="5" t="s">
        <v>24</v>
      </c>
      <c r="B466">
        <v>7.8072171894561638E+18</v>
      </c>
      <c r="C466">
        <v>1483464332</v>
      </c>
      <c r="D466">
        <v>1</v>
      </c>
      <c r="E466">
        <v>23.95</v>
      </c>
    </row>
    <row r="467" spans="1:5" hidden="1" x14ac:dyDescent="0.35">
      <c r="A467" s="5" t="s">
        <v>24</v>
      </c>
      <c r="B467">
        <v>7.3762938267188316E+18</v>
      </c>
      <c r="C467">
        <v>1484108863</v>
      </c>
      <c r="D467">
        <v>1</v>
      </c>
      <c r="E467">
        <v>23.9</v>
      </c>
    </row>
    <row r="468" spans="1:5" hidden="1" x14ac:dyDescent="0.35">
      <c r="A468" s="5" t="s">
        <v>24</v>
      </c>
      <c r="B468">
        <v>6.7264788992016251E+18</v>
      </c>
      <c r="C468">
        <v>1483541553</v>
      </c>
      <c r="D468">
        <v>1</v>
      </c>
      <c r="E468">
        <v>23.18</v>
      </c>
    </row>
    <row r="469" spans="1:5" hidden="1" x14ac:dyDescent="0.35">
      <c r="A469" s="5" t="s">
        <v>24</v>
      </c>
      <c r="B469">
        <v>5.5924263800561654E+18</v>
      </c>
      <c r="C469">
        <v>1484602901</v>
      </c>
      <c r="D469">
        <v>1</v>
      </c>
      <c r="E469">
        <v>23.18</v>
      </c>
    </row>
    <row r="470" spans="1:5" hidden="1" x14ac:dyDescent="0.35">
      <c r="A470" s="5" t="s">
        <v>24</v>
      </c>
      <c r="B470">
        <v>3.3010011768639524E+18</v>
      </c>
      <c r="C470">
        <v>1483599074</v>
      </c>
      <c r="D470">
        <v>1</v>
      </c>
      <c r="E470">
        <v>22.97</v>
      </c>
    </row>
    <row r="471" spans="1:5" hidden="1" x14ac:dyDescent="0.35">
      <c r="A471" s="5" t="s">
        <v>24</v>
      </c>
      <c r="B471">
        <v>3.9458944434194135E+18</v>
      </c>
      <c r="C471">
        <v>1485470612</v>
      </c>
      <c r="D471">
        <v>1</v>
      </c>
      <c r="E471">
        <v>22.97</v>
      </c>
    </row>
    <row r="472" spans="1:5" hidden="1" x14ac:dyDescent="0.35">
      <c r="A472" s="5" t="s">
        <v>24</v>
      </c>
      <c r="B472">
        <v>5.1365753516037878E+18</v>
      </c>
      <c r="C472">
        <v>1485396658</v>
      </c>
      <c r="D472">
        <v>1</v>
      </c>
      <c r="E472">
        <v>22.47</v>
      </c>
    </row>
    <row r="473" spans="1:5" hidden="1" x14ac:dyDescent="0.35">
      <c r="A473" s="5" t="s">
        <v>24</v>
      </c>
      <c r="B473">
        <v>2.4221801650693059E+18</v>
      </c>
      <c r="C473">
        <v>1484102917</v>
      </c>
      <c r="D473">
        <v>1</v>
      </c>
      <c r="E473">
        <v>22.4</v>
      </c>
    </row>
    <row r="474" spans="1:5" hidden="1" x14ac:dyDescent="0.35">
      <c r="A474" s="5" t="s">
        <v>24</v>
      </c>
      <c r="B474">
        <v>3.819398190341695E+18</v>
      </c>
      <c r="C474">
        <v>1484086565</v>
      </c>
      <c r="D474">
        <v>1</v>
      </c>
      <c r="E474">
        <v>22.38</v>
      </c>
    </row>
    <row r="475" spans="1:5" hidden="1" x14ac:dyDescent="0.35">
      <c r="A475" s="5" t="s">
        <v>24</v>
      </c>
      <c r="B475">
        <v>5.4830118063475026E+18</v>
      </c>
      <c r="C475">
        <v>1484857128</v>
      </c>
      <c r="D475">
        <v>1</v>
      </c>
      <c r="E475">
        <v>22.38</v>
      </c>
    </row>
    <row r="476" spans="1:5" hidden="1" x14ac:dyDescent="0.35">
      <c r="A476" s="5" t="s">
        <v>24</v>
      </c>
      <c r="B476">
        <v>9.9744619829591368E+18</v>
      </c>
      <c r="C476">
        <v>1484842221</v>
      </c>
      <c r="D476">
        <v>1</v>
      </c>
      <c r="E476">
        <v>21.99</v>
      </c>
    </row>
    <row r="477" spans="1:5" hidden="1" x14ac:dyDescent="0.35">
      <c r="A477" s="5" t="s">
        <v>24</v>
      </c>
      <c r="B477">
        <v>4.7509547902079824E+16</v>
      </c>
      <c r="C477">
        <v>1485544215</v>
      </c>
      <c r="D477">
        <v>1</v>
      </c>
      <c r="E477">
        <v>21.56</v>
      </c>
    </row>
    <row r="478" spans="1:5" hidden="1" x14ac:dyDescent="0.35">
      <c r="A478" s="5" t="s">
        <v>24</v>
      </c>
      <c r="B478">
        <v>4.7480158232624978E+18</v>
      </c>
      <c r="C478">
        <v>1484746867</v>
      </c>
      <c r="D478">
        <v>1</v>
      </c>
      <c r="E478">
        <v>20.98</v>
      </c>
    </row>
    <row r="479" spans="1:5" hidden="1" x14ac:dyDescent="0.35">
      <c r="A479" s="5" t="s">
        <v>24</v>
      </c>
      <c r="B479">
        <v>1.4440977773519109E+18</v>
      </c>
      <c r="C479">
        <v>1485701876</v>
      </c>
      <c r="D479">
        <v>1</v>
      </c>
      <c r="E479">
        <v>20.98</v>
      </c>
    </row>
    <row r="480" spans="1:5" hidden="1" x14ac:dyDescent="0.35">
      <c r="A480" s="5" t="s">
        <v>24</v>
      </c>
      <c r="B480">
        <v>3.9683374848706237E+18</v>
      </c>
      <c r="C480">
        <v>1484193378</v>
      </c>
      <c r="D480">
        <v>1</v>
      </c>
      <c r="E480">
        <v>20.98</v>
      </c>
    </row>
    <row r="481" spans="1:5" hidden="1" x14ac:dyDescent="0.35">
      <c r="A481" s="5" t="s">
        <v>24</v>
      </c>
      <c r="B481">
        <v>6.1290593090500219E+18</v>
      </c>
      <c r="C481">
        <v>1483325774</v>
      </c>
      <c r="D481">
        <v>1</v>
      </c>
      <c r="E481">
        <v>20.98</v>
      </c>
    </row>
    <row r="482" spans="1:5" hidden="1" x14ac:dyDescent="0.35">
      <c r="A482" s="5" t="s">
        <v>24</v>
      </c>
      <c r="B482">
        <v>6.5580706630267023E+18</v>
      </c>
      <c r="C482">
        <v>1483480109</v>
      </c>
      <c r="D482">
        <v>1</v>
      </c>
      <c r="E482">
        <v>20.98</v>
      </c>
    </row>
    <row r="483" spans="1:5" hidden="1" x14ac:dyDescent="0.35">
      <c r="A483" s="5" t="s">
        <v>24</v>
      </c>
      <c r="B483">
        <v>2.7026264844668191E+18</v>
      </c>
      <c r="C483">
        <v>1483714902</v>
      </c>
      <c r="D483">
        <v>1</v>
      </c>
      <c r="E483">
        <v>20.98</v>
      </c>
    </row>
    <row r="484" spans="1:5" hidden="1" x14ac:dyDescent="0.35">
      <c r="A484" s="5" t="s">
        <v>24</v>
      </c>
      <c r="B484">
        <v>4.5253264504971464E+18</v>
      </c>
      <c r="C484">
        <v>1484370904</v>
      </c>
      <c r="D484">
        <v>1</v>
      </c>
      <c r="E484">
        <v>20.98</v>
      </c>
    </row>
    <row r="485" spans="1:5" hidden="1" x14ac:dyDescent="0.35">
      <c r="A485" s="5" t="s">
        <v>24</v>
      </c>
      <c r="B485">
        <v>8.4964711107693548E+18</v>
      </c>
      <c r="C485">
        <v>1484589338</v>
      </c>
      <c r="D485">
        <v>1</v>
      </c>
      <c r="E485">
        <v>20.93</v>
      </c>
    </row>
    <row r="486" spans="1:5" hidden="1" x14ac:dyDescent="0.35">
      <c r="A486" s="5" t="s">
        <v>24</v>
      </c>
      <c r="B486">
        <v>8.926768253847212E+18</v>
      </c>
      <c r="C486">
        <v>1485817035</v>
      </c>
      <c r="D486">
        <v>1</v>
      </c>
      <c r="E486">
        <v>20.78</v>
      </c>
    </row>
    <row r="487" spans="1:5" hidden="1" x14ac:dyDescent="0.35">
      <c r="A487" s="5" t="s">
        <v>24</v>
      </c>
      <c r="B487">
        <v>7.405717600950398E+18</v>
      </c>
      <c r="C487">
        <v>1485831616</v>
      </c>
      <c r="D487">
        <v>1</v>
      </c>
      <c r="E487">
        <v>19.989999999999998</v>
      </c>
    </row>
    <row r="488" spans="1:5" hidden="1" x14ac:dyDescent="0.35">
      <c r="A488" s="5" t="s">
        <v>24</v>
      </c>
      <c r="B488">
        <v>6.587875124073983E+18</v>
      </c>
      <c r="C488">
        <v>1485366233</v>
      </c>
      <c r="D488">
        <v>1</v>
      </c>
      <c r="E488">
        <v>19.989999999999998</v>
      </c>
    </row>
    <row r="489" spans="1:5" hidden="1" x14ac:dyDescent="0.35">
      <c r="A489" s="5" t="s">
        <v>24</v>
      </c>
      <c r="B489">
        <v>8.063045802822569E+17</v>
      </c>
      <c r="C489">
        <v>1485392403</v>
      </c>
      <c r="D489">
        <v>1</v>
      </c>
      <c r="E489">
        <v>19.989999999999998</v>
      </c>
    </row>
    <row r="490" spans="1:5" hidden="1" x14ac:dyDescent="0.35">
      <c r="A490" s="5" t="s">
        <v>24</v>
      </c>
      <c r="B490">
        <v>3.9099817056611782E+17</v>
      </c>
      <c r="C490">
        <v>1483638909</v>
      </c>
      <c r="D490">
        <v>1</v>
      </c>
      <c r="E490">
        <v>19.989999999999998</v>
      </c>
    </row>
    <row r="491" spans="1:5" hidden="1" x14ac:dyDescent="0.35">
      <c r="A491" s="5" t="s">
        <v>24</v>
      </c>
      <c r="B491">
        <v>6.0805151405522903E+18</v>
      </c>
      <c r="C491">
        <v>1483650733</v>
      </c>
      <c r="D491">
        <v>1</v>
      </c>
      <c r="E491">
        <v>19.989999999999998</v>
      </c>
    </row>
    <row r="492" spans="1:5" hidden="1" x14ac:dyDescent="0.35">
      <c r="A492" s="5" t="s">
        <v>24</v>
      </c>
      <c r="B492">
        <v>4.2377020590990956E+18</v>
      </c>
      <c r="C492">
        <v>1484609628</v>
      </c>
      <c r="D492">
        <v>1</v>
      </c>
      <c r="E492">
        <v>19.989999999999998</v>
      </c>
    </row>
    <row r="493" spans="1:5" hidden="1" x14ac:dyDescent="0.35">
      <c r="A493" s="5" t="s">
        <v>24</v>
      </c>
      <c r="B493">
        <v>8.1531110371730299E+18</v>
      </c>
      <c r="C493">
        <v>1484245418</v>
      </c>
      <c r="D493">
        <v>1</v>
      </c>
      <c r="E493">
        <v>19.989999999999998</v>
      </c>
    </row>
    <row r="494" spans="1:5" hidden="1" x14ac:dyDescent="0.35">
      <c r="A494" s="5" t="s">
        <v>24</v>
      </c>
      <c r="B494">
        <v>3.3077275414545382E+18</v>
      </c>
      <c r="C494">
        <v>1484840089</v>
      </c>
      <c r="D494">
        <v>1</v>
      </c>
      <c r="E494">
        <v>19.989999999999998</v>
      </c>
    </row>
    <row r="495" spans="1:5" hidden="1" x14ac:dyDescent="0.35">
      <c r="A495" s="5" t="s">
        <v>24</v>
      </c>
      <c r="B495">
        <v>2.9366349302906783E+18</v>
      </c>
      <c r="C495">
        <v>1484883045</v>
      </c>
      <c r="D495">
        <v>1</v>
      </c>
      <c r="E495">
        <v>19.989999999999998</v>
      </c>
    </row>
    <row r="496" spans="1:5" hidden="1" x14ac:dyDescent="0.35">
      <c r="A496" s="5" t="s">
        <v>24</v>
      </c>
      <c r="B496">
        <v>9.505334235381623E+17</v>
      </c>
      <c r="C496">
        <v>1484855373</v>
      </c>
      <c r="D496">
        <v>1</v>
      </c>
      <c r="E496">
        <v>19.989999999999998</v>
      </c>
    </row>
    <row r="497" spans="1:5" hidden="1" x14ac:dyDescent="0.35">
      <c r="A497" s="5" t="s">
        <v>24</v>
      </c>
      <c r="B497">
        <v>8.6969573774538025E+18</v>
      </c>
      <c r="C497">
        <v>1484530269</v>
      </c>
      <c r="D497">
        <v>1</v>
      </c>
      <c r="E497">
        <v>19.989999999999998</v>
      </c>
    </row>
    <row r="498" spans="1:5" hidden="1" x14ac:dyDescent="0.35">
      <c r="A498" s="5" t="s">
        <v>24</v>
      </c>
      <c r="B498">
        <v>6.1039943538661868E+18</v>
      </c>
      <c r="C498">
        <v>1483922671</v>
      </c>
      <c r="D498">
        <v>1</v>
      </c>
      <c r="E498">
        <v>19.989999999999998</v>
      </c>
    </row>
    <row r="499" spans="1:5" hidden="1" x14ac:dyDescent="0.35">
      <c r="A499" s="5" t="s">
        <v>24</v>
      </c>
      <c r="B499">
        <v>8.2803045334505953E+18</v>
      </c>
      <c r="C499">
        <v>1484569563</v>
      </c>
      <c r="D499">
        <v>1</v>
      </c>
      <c r="E499">
        <v>19.97</v>
      </c>
    </row>
    <row r="500" spans="1:5" hidden="1" x14ac:dyDescent="0.35">
      <c r="A500" s="5" t="s">
        <v>24</v>
      </c>
      <c r="B500">
        <v>3.513351372508524E+18</v>
      </c>
      <c r="C500">
        <v>1485043299</v>
      </c>
      <c r="D500">
        <v>1</v>
      </c>
      <c r="E500">
        <v>19.96</v>
      </c>
    </row>
    <row r="501" spans="1:5" hidden="1" x14ac:dyDescent="0.35">
      <c r="A501" s="5" t="s">
        <v>24</v>
      </c>
      <c r="B501">
        <v>4.191379935308714E+18</v>
      </c>
      <c r="C501">
        <v>1483624773</v>
      </c>
      <c r="D501">
        <v>1</v>
      </c>
      <c r="E501">
        <v>19.96</v>
      </c>
    </row>
    <row r="502" spans="1:5" hidden="1" x14ac:dyDescent="0.35">
      <c r="A502" s="5" t="s">
        <v>24</v>
      </c>
      <c r="B502">
        <v>8.9185692618256922E+17</v>
      </c>
      <c r="C502">
        <v>1483385480</v>
      </c>
      <c r="D502">
        <v>1</v>
      </c>
      <c r="E502">
        <v>19.96</v>
      </c>
    </row>
    <row r="503" spans="1:5" hidden="1" x14ac:dyDescent="0.35">
      <c r="A503" s="5" t="s">
        <v>24</v>
      </c>
      <c r="B503">
        <v>5.3346247902588896E+17</v>
      </c>
      <c r="C503">
        <v>1484759391</v>
      </c>
      <c r="D503">
        <v>1</v>
      </c>
      <c r="E503">
        <v>19.190000000000001</v>
      </c>
    </row>
    <row r="504" spans="1:5" hidden="1" x14ac:dyDescent="0.35">
      <c r="A504" s="5" t="s">
        <v>24</v>
      </c>
      <c r="B504">
        <v>2.4113229747243858E+18</v>
      </c>
      <c r="C504">
        <v>1483546325</v>
      </c>
      <c r="D504">
        <v>2</v>
      </c>
      <c r="E504">
        <v>19.190000000000001</v>
      </c>
    </row>
    <row r="505" spans="1:5" hidden="1" x14ac:dyDescent="0.35">
      <c r="A505" s="5" t="s">
        <v>24</v>
      </c>
      <c r="B505">
        <v>6.0564817618192415E+18</v>
      </c>
      <c r="C505">
        <v>1485192844</v>
      </c>
      <c r="D505">
        <v>1</v>
      </c>
      <c r="E505">
        <v>19.190000000000001</v>
      </c>
    </row>
    <row r="506" spans="1:5" hidden="1" x14ac:dyDescent="0.35">
      <c r="A506" s="5" t="s">
        <v>24</v>
      </c>
      <c r="B506">
        <v>5.7932616196792448E+17</v>
      </c>
      <c r="C506">
        <v>1484846267</v>
      </c>
      <c r="D506">
        <v>1</v>
      </c>
      <c r="E506">
        <v>19.190000000000001</v>
      </c>
    </row>
    <row r="507" spans="1:5" hidden="1" x14ac:dyDescent="0.35">
      <c r="A507" s="5" t="s">
        <v>24</v>
      </c>
      <c r="B507">
        <v>7.7792217835648614E+17</v>
      </c>
      <c r="C507">
        <v>1485307902</v>
      </c>
      <c r="D507">
        <v>1</v>
      </c>
      <c r="E507">
        <v>19.18</v>
      </c>
    </row>
    <row r="508" spans="1:5" hidden="1" x14ac:dyDescent="0.35">
      <c r="A508" s="5" t="s">
        <v>24</v>
      </c>
      <c r="B508">
        <v>7.1180319546198057E+18</v>
      </c>
      <c r="C508">
        <v>1485825117</v>
      </c>
      <c r="D508">
        <v>1</v>
      </c>
      <c r="E508">
        <v>18.989999999999998</v>
      </c>
    </row>
    <row r="509" spans="1:5" hidden="1" x14ac:dyDescent="0.35">
      <c r="A509" s="5" t="s">
        <v>24</v>
      </c>
      <c r="B509">
        <v>2.1473663855299948E+18</v>
      </c>
      <c r="C509">
        <v>1485537129</v>
      </c>
      <c r="D509">
        <v>1</v>
      </c>
      <c r="E509">
        <v>18.989999999999998</v>
      </c>
    </row>
    <row r="510" spans="1:5" hidden="1" x14ac:dyDescent="0.35">
      <c r="A510" s="5" t="s">
        <v>24</v>
      </c>
      <c r="B510">
        <v>2.0878800220780462E+18</v>
      </c>
      <c r="C510">
        <v>1485379213</v>
      </c>
      <c r="D510">
        <v>1</v>
      </c>
      <c r="E510">
        <v>18.989999999999998</v>
      </c>
    </row>
    <row r="511" spans="1:5" hidden="1" x14ac:dyDescent="0.35">
      <c r="A511" s="5" t="s">
        <v>24</v>
      </c>
      <c r="B511">
        <v>7.249775005981824E+18</v>
      </c>
      <c r="C511">
        <v>1485073840</v>
      </c>
      <c r="D511">
        <v>1</v>
      </c>
      <c r="E511">
        <v>18.989999999999998</v>
      </c>
    </row>
    <row r="512" spans="1:5" hidden="1" x14ac:dyDescent="0.35">
      <c r="A512" s="5" t="s">
        <v>24</v>
      </c>
      <c r="B512">
        <v>5.7662806374237379E+18</v>
      </c>
      <c r="C512">
        <v>1484250107</v>
      </c>
      <c r="D512">
        <v>1</v>
      </c>
      <c r="E512">
        <v>18.989999999999998</v>
      </c>
    </row>
    <row r="513" spans="1:5" hidden="1" x14ac:dyDescent="0.35">
      <c r="A513" s="5" t="s">
        <v>24</v>
      </c>
      <c r="B513">
        <v>3.7654916290473206E+18</v>
      </c>
      <c r="C513">
        <v>1484885557</v>
      </c>
      <c r="D513">
        <v>1</v>
      </c>
      <c r="E513">
        <v>18.989999999999998</v>
      </c>
    </row>
    <row r="514" spans="1:5" hidden="1" x14ac:dyDescent="0.35">
      <c r="A514" s="5" t="s">
        <v>24</v>
      </c>
      <c r="B514">
        <v>4.6977611453880269E+18</v>
      </c>
      <c r="C514">
        <v>1484330155</v>
      </c>
      <c r="D514">
        <v>1</v>
      </c>
      <c r="E514">
        <v>18.989999999999998</v>
      </c>
    </row>
    <row r="515" spans="1:5" hidden="1" x14ac:dyDescent="0.35">
      <c r="A515" s="5" t="s">
        <v>24</v>
      </c>
      <c r="B515">
        <v>5.4565927345320305E+18</v>
      </c>
      <c r="C515">
        <v>1485834058</v>
      </c>
      <c r="D515">
        <v>1</v>
      </c>
      <c r="E515">
        <v>18.98</v>
      </c>
    </row>
    <row r="516" spans="1:5" hidden="1" x14ac:dyDescent="0.35">
      <c r="A516" s="5" t="s">
        <v>24</v>
      </c>
      <c r="B516">
        <v>5.8476458205315318E+18</v>
      </c>
      <c r="C516">
        <v>1484407885</v>
      </c>
      <c r="D516">
        <v>1</v>
      </c>
      <c r="E516">
        <v>18.98</v>
      </c>
    </row>
    <row r="517" spans="1:5" hidden="1" x14ac:dyDescent="0.35">
      <c r="A517" s="5" t="s">
        <v>24</v>
      </c>
      <c r="B517">
        <v>3.8371465059343539E+17</v>
      </c>
      <c r="C517">
        <v>1485203230</v>
      </c>
      <c r="D517">
        <v>1</v>
      </c>
      <c r="E517">
        <v>18.95</v>
      </c>
    </row>
    <row r="518" spans="1:5" hidden="1" x14ac:dyDescent="0.35">
      <c r="A518" s="5" t="s">
        <v>24</v>
      </c>
      <c r="B518">
        <v>7.7383032011452324E+18</v>
      </c>
      <c r="C518">
        <v>1483476503</v>
      </c>
      <c r="D518">
        <v>1</v>
      </c>
      <c r="E518">
        <v>18.39</v>
      </c>
    </row>
    <row r="519" spans="1:5" hidden="1" x14ac:dyDescent="0.35">
      <c r="A519" s="5" t="s">
        <v>24</v>
      </c>
      <c r="B519">
        <v>1.0215647280568951E+18</v>
      </c>
      <c r="C519">
        <v>1484363019</v>
      </c>
      <c r="D519">
        <v>1</v>
      </c>
      <c r="E519">
        <v>17.989999999999998</v>
      </c>
    </row>
    <row r="520" spans="1:5" hidden="1" x14ac:dyDescent="0.35">
      <c r="A520" s="5" t="s">
        <v>24</v>
      </c>
      <c r="B520">
        <v>5.292818515237255E+17</v>
      </c>
      <c r="C520">
        <v>1484178155</v>
      </c>
      <c r="D520">
        <v>2</v>
      </c>
      <c r="E520">
        <v>17.59</v>
      </c>
    </row>
    <row r="521" spans="1:5" hidden="1" x14ac:dyDescent="0.35">
      <c r="A521" s="5" t="s">
        <v>24</v>
      </c>
      <c r="B521">
        <v>1.9972836086356989E+18</v>
      </c>
      <c r="C521">
        <v>1484627685</v>
      </c>
      <c r="D521">
        <v>1</v>
      </c>
      <c r="E521">
        <v>17.59</v>
      </c>
    </row>
    <row r="522" spans="1:5" hidden="1" x14ac:dyDescent="0.35">
      <c r="A522" s="5" t="s">
        <v>24</v>
      </c>
      <c r="B522">
        <v>6.1794153131555082E+18</v>
      </c>
      <c r="C522">
        <v>1483463137</v>
      </c>
      <c r="D522">
        <v>1</v>
      </c>
      <c r="E522">
        <v>17.59</v>
      </c>
    </row>
    <row r="523" spans="1:5" hidden="1" x14ac:dyDescent="0.35">
      <c r="A523" s="5" t="s">
        <v>24</v>
      </c>
      <c r="B523">
        <v>4.4192133339704294E+18</v>
      </c>
      <c r="C523">
        <v>1483729645</v>
      </c>
      <c r="D523">
        <v>1</v>
      </c>
      <c r="E523">
        <v>17.59</v>
      </c>
    </row>
    <row r="524" spans="1:5" hidden="1" x14ac:dyDescent="0.35">
      <c r="A524" s="5" t="s">
        <v>24</v>
      </c>
      <c r="B524">
        <v>6.5255655233460613E+18</v>
      </c>
      <c r="C524">
        <v>1485912456</v>
      </c>
      <c r="D524">
        <v>1</v>
      </c>
      <c r="E524">
        <v>17.579999999999998</v>
      </c>
    </row>
    <row r="525" spans="1:5" hidden="1" x14ac:dyDescent="0.35">
      <c r="A525" s="5" t="s">
        <v>24</v>
      </c>
      <c r="B525">
        <v>9.1155048685849946E+17</v>
      </c>
      <c r="C525">
        <v>1485304337</v>
      </c>
      <c r="D525">
        <v>1</v>
      </c>
      <c r="E525">
        <v>16.989999999999998</v>
      </c>
    </row>
    <row r="526" spans="1:5" hidden="1" x14ac:dyDescent="0.35">
      <c r="A526" s="5" t="s">
        <v>24</v>
      </c>
      <c r="B526">
        <v>6.7608463485787791E+18</v>
      </c>
      <c r="C526">
        <v>1485280455</v>
      </c>
      <c r="D526">
        <v>1</v>
      </c>
      <c r="E526">
        <v>16.989999999999998</v>
      </c>
    </row>
    <row r="527" spans="1:5" hidden="1" x14ac:dyDescent="0.35">
      <c r="A527" s="5" t="s">
        <v>24</v>
      </c>
      <c r="B527">
        <v>3.4302599881932836E+18</v>
      </c>
      <c r="C527">
        <v>1485026682</v>
      </c>
      <c r="D527">
        <v>1</v>
      </c>
      <c r="E527">
        <v>16.989999999999998</v>
      </c>
    </row>
    <row r="528" spans="1:5" hidden="1" x14ac:dyDescent="0.35">
      <c r="A528" s="5" t="s">
        <v>24</v>
      </c>
      <c r="B528">
        <v>5.5611343019542159E+18</v>
      </c>
      <c r="C528">
        <v>1484696889</v>
      </c>
      <c r="D528">
        <v>1</v>
      </c>
      <c r="E528">
        <v>16.989999999999998</v>
      </c>
    </row>
    <row r="529" spans="1:5" hidden="1" x14ac:dyDescent="0.35">
      <c r="A529" s="5" t="s">
        <v>24</v>
      </c>
      <c r="B529">
        <v>5.650567800836153E+17</v>
      </c>
      <c r="C529">
        <v>1485347524</v>
      </c>
      <c r="D529">
        <v>1</v>
      </c>
      <c r="E529">
        <v>16.989999999999998</v>
      </c>
    </row>
    <row r="530" spans="1:5" hidden="1" x14ac:dyDescent="0.35">
      <c r="A530" s="5" t="s">
        <v>24</v>
      </c>
      <c r="B530">
        <v>5.5472816462382662E+17</v>
      </c>
      <c r="C530">
        <v>1484102578</v>
      </c>
      <c r="D530">
        <v>1</v>
      </c>
      <c r="E530">
        <v>16.989999999999998</v>
      </c>
    </row>
    <row r="531" spans="1:5" hidden="1" x14ac:dyDescent="0.35">
      <c r="A531" s="5" t="s">
        <v>24</v>
      </c>
      <c r="B531">
        <v>7.3855339956802304E+18</v>
      </c>
      <c r="C531">
        <v>1483492055</v>
      </c>
      <c r="D531">
        <v>1</v>
      </c>
      <c r="E531">
        <v>16.989999999999998</v>
      </c>
    </row>
    <row r="532" spans="1:5" hidden="1" x14ac:dyDescent="0.35">
      <c r="A532" s="5" t="s">
        <v>24</v>
      </c>
      <c r="B532">
        <v>2.591017631506071E+18</v>
      </c>
      <c r="C532">
        <v>1484842971</v>
      </c>
      <c r="D532">
        <v>1</v>
      </c>
      <c r="E532">
        <v>16.989999999999998</v>
      </c>
    </row>
    <row r="533" spans="1:5" hidden="1" x14ac:dyDescent="0.35">
      <c r="A533" s="5" t="s">
        <v>24</v>
      </c>
      <c r="B533">
        <v>8.3953474478372925E+18</v>
      </c>
      <c r="C533">
        <v>1484324189</v>
      </c>
      <c r="D533">
        <v>1</v>
      </c>
      <c r="E533">
        <v>16.989999999999998</v>
      </c>
    </row>
    <row r="534" spans="1:5" hidden="1" x14ac:dyDescent="0.35">
      <c r="A534" s="5" t="s">
        <v>24</v>
      </c>
      <c r="B534">
        <v>7.7612321059154903E+18</v>
      </c>
      <c r="C534">
        <v>1483647699</v>
      </c>
      <c r="D534">
        <v>1</v>
      </c>
      <c r="E534">
        <v>16.98</v>
      </c>
    </row>
    <row r="535" spans="1:5" hidden="1" x14ac:dyDescent="0.35">
      <c r="A535" s="5" t="s">
        <v>24</v>
      </c>
      <c r="B535">
        <v>2.7546417815507948E+18</v>
      </c>
      <c r="C535">
        <v>1485379628</v>
      </c>
      <c r="D535">
        <v>1</v>
      </c>
      <c r="E535">
        <v>16.97</v>
      </c>
    </row>
    <row r="536" spans="1:5" hidden="1" x14ac:dyDescent="0.35">
      <c r="A536" s="5" t="s">
        <v>24</v>
      </c>
      <c r="B536">
        <v>9.9130508399136543E+18</v>
      </c>
      <c r="C536">
        <v>1485145536</v>
      </c>
      <c r="D536">
        <v>1</v>
      </c>
      <c r="E536">
        <v>16.5</v>
      </c>
    </row>
    <row r="537" spans="1:5" hidden="1" x14ac:dyDescent="0.35">
      <c r="A537" s="5" t="s">
        <v>24</v>
      </c>
      <c r="B537">
        <v>6.6547844041573584E+16</v>
      </c>
      <c r="C537">
        <v>1484218900</v>
      </c>
      <c r="D537">
        <v>1</v>
      </c>
      <c r="E537">
        <v>16.46</v>
      </c>
    </row>
    <row r="538" spans="1:5" hidden="1" x14ac:dyDescent="0.35">
      <c r="A538" s="5" t="s">
        <v>24</v>
      </c>
      <c r="B538">
        <v>3.2157294291985644E+18</v>
      </c>
      <c r="C538">
        <v>1484752844</v>
      </c>
      <c r="D538">
        <v>1</v>
      </c>
      <c r="E538">
        <v>15.99</v>
      </c>
    </row>
    <row r="539" spans="1:5" hidden="1" x14ac:dyDescent="0.35">
      <c r="A539" s="5" t="s">
        <v>24</v>
      </c>
      <c r="B539">
        <v>7.930731506451372E+18</v>
      </c>
      <c r="C539">
        <v>1484782617</v>
      </c>
      <c r="D539">
        <v>1</v>
      </c>
      <c r="E539">
        <v>15.99</v>
      </c>
    </row>
    <row r="540" spans="1:5" hidden="1" x14ac:dyDescent="0.35">
      <c r="A540" s="5" t="s">
        <v>24</v>
      </c>
      <c r="B540">
        <v>1.1670243222567153E+18</v>
      </c>
      <c r="C540">
        <v>1483658331</v>
      </c>
      <c r="D540">
        <v>1</v>
      </c>
      <c r="E540">
        <v>15.99</v>
      </c>
    </row>
    <row r="541" spans="1:5" hidden="1" x14ac:dyDescent="0.35">
      <c r="A541" s="5" t="s">
        <v>24</v>
      </c>
      <c r="B541">
        <v>1.2018305458076547E+18</v>
      </c>
      <c r="C541">
        <v>1484453948</v>
      </c>
      <c r="D541">
        <v>1</v>
      </c>
      <c r="E541">
        <v>15.99</v>
      </c>
    </row>
    <row r="542" spans="1:5" hidden="1" x14ac:dyDescent="0.35">
      <c r="A542" s="5" t="s">
        <v>24</v>
      </c>
      <c r="B542">
        <v>4.9667069439431782E+18</v>
      </c>
      <c r="C542">
        <v>1484100993</v>
      </c>
      <c r="D542">
        <v>1</v>
      </c>
      <c r="E542">
        <v>15.99</v>
      </c>
    </row>
    <row r="543" spans="1:5" hidden="1" x14ac:dyDescent="0.35">
      <c r="A543" s="5" t="s">
        <v>24</v>
      </c>
      <c r="B543">
        <v>2.7932959879724534E+18</v>
      </c>
      <c r="C543">
        <v>1483473211</v>
      </c>
      <c r="D543">
        <v>1</v>
      </c>
      <c r="E543">
        <v>15.99</v>
      </c>
    </row>
    <row r="544" spans="1:5" hidden="1" x14ac:dyDescent="0.35">
      <c r="A544" s="5" t="s">
        <v>24</v>
      </c>
      <c r="B544">
        <v>2.2864384025549345E+18</v>
      </c>
      <c r="C544">
        <v>1484847404</v>
      </c>
      <c r="D544">
        <v>1</v>
      </c>
      <c r="E544">
        <v>15.99</v>
      </c>
    </row>
    <row r="545" spans="1:5" hidden="1" x14ac:dyDescent="0.35">
      <c r="A545" s="5" t="s">
        <v>24</v>
      </c>
      <c r="B545">
        <v>9.0777171137022474E+18</v>
      </c>
      <c r="C545">
        <v>1485135453</v>
      </c>
      <c r="D545">
        <v>1</v>
      </c>
      <c r="E545">
        <v>15.96</v>
      </c>
    </row>
    <row r="546" spans="1:5" hidden="1" x14ac:dyDescent="0.35">
      <c r="A546" s="5" t="s">
        <v>24</v>
      </c>
      <c r="B546">
        <v>2.0785832282502551E+18</v>
      </c>
      <c r="C546">
        <v>1484785451</v>
      </c>
      <c r="D546">
        <v>1</v>
      </c>
      <c r="E546">
        <v>15.19</v>
      </c>
    </row>
    <row r="547" spans="1:5" hidden="1" x14ac:dyDescent="0.35">
      <c r="A547" s="5" t="s">
        <v>24</v>
      </c>
      <c r="B547">
        <v>1.324866380268873E+18</v>
      </c>
      <c r="C547">
        <v>1484761831</v>
      </c>
      <c r="D547">
        <v>1</v>
      </c>
      <c r="E547">
        <v>15.19</v>
      </c>
    </row>
    <row r="548" spans="1:5" hidden="1" x14ac:dyDescent="0.35">
      <c r="A548" s="5" t="s">
        <v>24</v>
      </c>
      <c r="B548">
        <v>1.28581116052271E+18</v>
      </c>
      <c r="C548">
        <v>1485055110</v>
      </c>
      <c r="D548">
        <v>1</v>
      </c>
      <c r="E548">
        <v>15.19</v>
      </c>
    </row>
    <row r="549" spans="1:5" hidden="1" x14ac:dyDescent="0.35">
      <c r="A549" s="5" t="s">
        <v>24</v>
      </c>
      <c r="B549">
        <v>4.2117383656851476E+18</v>
      </c>
      <c r="C549">
        <v>1484697791</v>
      </c>
      <c r="D549">
        <v>1</v>
      </c>
      <c r="E549">
        <v>15.19</v>
      </c>
    </row>
    <row r="550" spans="1:5" hidden="1" x14ac:dyDescent="0.35">
      <c r="A550" s="5" t="s">
        <v>24</v>
      </c>
      <c r="B550">
        <v>3.4523349120844539E+18</v>
      </c>
      <c r="C550">
        <v>1485559969</v>
      </c>
      <c r="D550">
        <v>2</v>
      </c>
      <c r="E550">
        <v>15.19</v>
      </c>
    </row>
    <row r="551" spans="1:5" hidden="1" x14ac:dyDescent="0.35">
      <c r="A551" s="5" t="s">
        <v>24</v>
      </c>
      <c r="B551">
        <v>8.3984958667929405E+18</v>
      </c>
      <c r="C551">
        <v>1485128091</v>
      </c>
      <c r="D551">
        <v>1</v>
      </c>
      <c r="E551">
        <v>15.19</v>
      </c>
    </row>
    <row r="552" spans="1:5" hidden="1" x14ac:dyDescent="0.35">
      <c r="A552" s="5" t="s">
        <v>24</v>
      </c>
      <c r="B552">
        <v>1.361425561124756E+18</v>
      </c>
      <c r="C552">
        <v>1484082673</v>
      </c>
      <c r="D552">
        <v>1</v>
      </c>
      <c r="E552">
        <v>15.19</v>
      </c>
    </row>
    <row r="553" spans="1:5" hidden="1" x14ac:dyDescent="0.35">
      <c r="A553" s="5" t="s">
        <v>24</v>
      </c>
      <c r="B553">
        <v>1.8535981828683528E+18</v>
      </c>
      <c r="C553">
        <v>1484846506</v>
      </c>
      <c r="D553">
        <v>1</v>
      </c>
      <c r="E553">
        <v>15.19</v>
      </c>
    </row>
    <row r="554" spans="1:5" hidden="1" x14ac:dyDescent="0.35">
      <c r="A554" s="5" t="s">
        <v>24</v>
      </c>
      <c r="B554">
        <v>9.8661999729976054E+18</v>
      </c>
      <c r="C554">
        <v>1484856896</v>
      </c>
      <c r="D554">
        <v>1</v>
      </c>
      <c r="E554">
        <v>15.19</v>
      </c>
    </row>
    <row r="555" spans="1:5" hidden="1" x14ac:dyDescent="0.35">
      <c r="A555" s="5" t="s">
        <v>24</v>
      </c>
      <c r="B555">
        <v>8.3865619093180652E+18</v>
      </c>
      <c r="C555">
        <v>1483391685</v>
      </c>
      <c r="D555">
        <v>1</v>
      </c>
      <c r="E555">
        <v>15.18</v>
      </c>
    </row>
    <row r="556" spans="1:5" hidden="1" x14ac:dyDescent="0.35">
      <c r="A556" s="5" t="s">
        <v>24</v>
      </c>
      <c r="B556">
        <v>1.582753362351351E+18</v>
      </c>
      <c r="C556">
        <v>1483415747</v>
      </c>
      <c r="D556">
        <v>1</v>
      </c>
      <c r="E556">
        <v>14.38</v>
      </c>
    </row>
    <row r="557" spans="1:5" hidden="1" x14ac:dyDescent="0.35">
      <c r="A557" s="5" t="s">
        <v>24</v>
      </c>
      <c r="B557">
        <v>1.5908491020211248E+17</v>
      </c>
      <c r="C557">
        <v>1483552413</v>
      </c>
      <c r="D557">
        <v>1</v>
      </c>
      <c r="E557">
        <v>14.37</v>
      </c>
    </row>
    <row r="558" spans="1:5" hidden="1" x14ac:dyDescent="0.35">
      <c r="A558" s="5" t="s">
        <v>24</v>
      </c>
      <c r="B558">
        <v>5.0372087880653394E+18</v>
      </c>
      <c r="C558">
        <v>1484958567</v>
      </c>
      <c r="D558">
        <v>1</v>
      </c>
      <c r="E558">
        <v>14.34</v>
      </c>
    </row>
    <row r="559" spans="1:5" hidden="1" x14ac:dyDescent="0.35">
      <c r="A559" s="5" t="s">
        <v>24</v>
      </c>
      <c r="B559">
        <v>4.792822839185962E+18</v>
      </c>
      <c r="C559">
        <v>1485834622</v>
      </c>
      <c r="D559">
        <v>1</v>
      </c>
      <c r="E559">
        <v>13.99</v>
      </c>
    </row>
    <row r="560" spans="1:5" hidden="1" x14ac:dyDescent="0.35">
      <c r="A560" s="5" t="s">
        <v>24</v>
      </c>
      <c r="B560">
        <v>9.326855238826836E+18</v>
      </c>
      <c r="C560">
        <v>1485293376</v>
      </c>
      <c r="D560">
        <v>1</v>
      </c>
      <c r="E560">
        <v>13.98</v>
      </c>
    </row>
    <row r="561" spans="1:5" hidden="1" x14ac:dyDescent="0.35">
      <c r="A561" s="5" t="s">
        <v>24</v>
      </c>
      <c r="B561">
        <v>9.9113630606815355E+18</v>
      </c>
      <c r="C561">
        <v>1484767482</v>
      </c>
      <c r="D561">
        <v>1</v>
      </c>
      <c r="E561">
        <v>13.59</v>
      </c>
    </row>
    <row r="562" spans="1:5" hidden="1" x14ac:dyDescent="0.35">
      <c r="A562" s="5" t="s">
        <v>24</v>
      </c>
      <c r="B562">
        <v>6.7169285114101791E+18</v>
      </c>
      <c r="C562">
        <v>1484722235</v>
      </c>
      <c r="D562">
        <v>1</v>
      </c>
      <c r="E562">
        <v>13.59</v>
      </c>
    </row>
    <row r="563" spans="1:5" hidden="1" x14ac:dyDescent="0.35">
      <c r="A563" s="5" t="s">
        <v>24</v>
      </c>
      <c r="B563">
        <v>9.2372715765564477E+18</v>
      </c>
      <c r="C563">
        <v>1485136484</v>
      </c>
      <c r="D563">
        <v>1</v>
      </c>
      <c r="E563">
        <v>13.59</v>
      </c>
    </row>
    <row r="564" spans="1:5" hidden="1" x14ac:dyDescent="0.35">
      <c r="A564" s="5" t="s">
        <v>24</v>
      </c>
      <c r="B564">
        <v>5.8779212836780564E+18</v>
      </c>
      <c r="C564">
        <v>1483653785</v>
      </c>
      <c r="D564">
        <v>1</v>
      </c>
      <c r="E564">
        <v>13.59</v>
      </c>
    </row>
    <row r="565" spans="1:5" hidden="1" x14ac:dyDescent="0.35">
      <c r="A565" s="5" t="s">
        <v>24</v>
      </c>
      <c r="B565">
        <v>3.0689592249412934E+17</v>
      </c>
      <c r="C565">
        <v>1483655784</v>
      </c>
      <c r="D565">
        <v>1</v>
      </c>
      <c r="E565">
        <v>13.59</v>
      </c>
    </row>
    <row r="566" spans="1:5" hidden="1" x14ac:dyDescent="0.35">
      <c r="A566" s="5" t="s">
        <v>24</v>
      </c>
      <c r="B566">
        <v>3.9789723269672742E+17</v>
      </c>
      <c r="C566">
        <v>1483627836</v>
      </c>
      <c r="D566">
        <v>1</v>
      </c>
      <c r="E566">
        <v>13.59</v>
      </c>
    </row>
    <row r="567" spans="1:5" hidden="1" x14ac:dyDescent="0.35">
      <c r="A567" s="5" t="s">
        <v>24</v>
      </c>
      <c r="B567">
        <v>7.5941570894018775E+18</v>
      </c>
      <c r="C567">
        <v>1485235715</v>
      </c>
      <c r="D567">
        <v>1</v>
      </c>
      <c r="E567">
        <v>13.59</v>
      </c>
    </row>
    <row r="568" spans="1:5" hidden="1" x14ac:dyDescent="0.35">
      <c r="A568" s="5" t="s">
        <v>24</v>
      </c>
      <c r="B568">
        <v>4.8302110699127921E+18</v>
      </c>
      <c r="C568">
        <v>1483321225</v>
      </c>
      <c r="D568">
        <v>1</v>
      </c>
      <c r="E568">
        <v>13.59</v>
      </c>
    </row>
    <row r="569" spans="1:5" hidden="1" x14ac:dyDescent="0.35">
      <c r="A569" s="5" t="s">
        <v>24</v>
      </c>
      <c r="B569">
        <v>4.163967138563839E+18</v>
      </c>
      <c r="C569">
        <v>1484339233</v>
      </c>
      <c r="D569">
        <v>1</v>
      </c>
      <c r="E569">
        <v>13.59</v>
      </c>
    </row>
    <row r="570" spans="1:5" hidden="1" x14ac:dyDescent="0.35">
      <c r="A570" s="5" t="s">
        <v>24</v>
      </c>
      <c r="B570">
        <v>8.4063599279750636E+18</v>
      </c>
      <c r="C570">
        <v>1483577933</v>
      </c>
      <c r="D570">
        <v>1</v>
      </c>
      <c r="E570">
        <v>12.99</v>
      </c>
    </row>
    <row r="571" spans="1:5" hidden="1" x14ac:dyDescent="0.35">
      <c r="A571" s="5" t="s">
        <v>24</v>
      </c>
      <c r="B571">
        <v>4.6118888279833856E+18</v>
      </c>
      <c r="C571">
        <v>1485649633</v>
      </c>
      <c r="D571">
        <v>1</v>
      </c>
      <c r="E571">
        <v>11.99</v>
      </c>
    </row>
    <row r="572" spans="1:5" hidden="1" x14ac:dyDescent="0.35">
      <c r="A572" s="5" t="s">
        <v>24</v>
      </c>
      <c r="B572">
        <v>8.808166149253184E+17</v>
      </c>
      <c r="C572">
        <v>1483928251</v>
      </c>
      <c r="D572">
        <v>1</v>
      </c>
      <c r="E572">
        <v>11.98</v>
      </c>
    </row>
    <row r="573" spans="1:5" hidden="1" x14ac:dyDescent="0.35">
      <c r="A573" s="5" t="s">
        <v>24</v>
      </c>
      <c r="B573">
        <v>2.0581882634571043E+17</v>
      </c>
      <c r="C573">
        <v>1485483505</v>
      </c>
      <c r="D573">
        <v>1</v>
      </c>
      <c r="E573">
        <v>11.96</v>
      </c>
    </row>
    <row r="574" spans="1:5" hidden="1" x14ac:dyDescent="0.35">
      <c r="A574" s="5" t="s">
        <v>24</v>
      </c>
      <c r="B574">
        <v>2.2722366773263802E+17</v>
      </c>
      <c r="C574">
        <v>1484144991</v>
      </c>
      <c r="D574">
        <v>1</v>
      </c>
      <c r="E574">
        <v>11.2</v>
      </c>
    </row>
    <row r="575" spans="1:5" hidden="1" x14ac:dyDescent="0.35">
      <c r="A575" s="5" t="s">
        <v>24</v>
      </c>
      <c r="B575">
        <v>7.376304169676631E+18</v>
      </c>
      <c r="C575">
        <v>1485279054</v>
      </c>
      <c r="D575">
        <v>1</v>
      </c>
      <c r="E575">
        <v>11.19</v>
      </c>
    </row>
    <row r="576" spans="1:5" hidden="1" x14ac:dyDescent="0.35">
      <c r="A576" s="5" t="s">
        <v>24</v>
      </c>
      <c r="B576">
        <v>7.8990544339342515E+17</v>
      </c>
      <c r="C576">
        <v>1483402011</v>
      </c>
      <c r="D576">
        <v>1</v>
      </c>
      <c r="E576">
        <v>11.18</v>
      </c>
    </row>
    <row r="577" spans="1:5" hidden="1" x14ac:dyDescent="0.35">
      <c r="A577" s="5" t="s">
        <v>24</v>
      </c>
      <c r="B577">
        <v>2.4783543466931374E+18</v>
      </c>
      <c r="C577">
        <v>1484462123</v>
      </c>
      <c r="D577">
        <v>1</v>
      </c>
      <c r="E577">
        <v>11.18</v>
      </c>
    </row>
    <row r="578" spans="1:5" hidden="1" x14ac:dyDescent="0.35">
      <c r="A578" s="5" t="s">
        <v>24</v>
      </c>
      <c r="B578">
        <v>8.9638492104887101E+18</v>
      </c>
      <c r="C578">
        <v>1484692333</v>
      </c>
      <c r="D578">
        <v>1</v>
      </c>
      <c r="E578">
        <v>10.99</v>
      </c>
    </row>
    <row r="579" spans="1:5" hidden="1" x14ac:dyDescent="0.35">
      <c r="A579" s="5" t="s">
        <v>24</v>
      </c>
      <c r="B579">
        <v>9.3206168053345011E+17</v>
      </c>
      <c r="C579">
        <v>1484424982</v>
      </c>
      <c r="D579">
        <v>1</v>
      </c>
      <c r="E579">
        <v>10.99</v>
      </c>
    </row>
    <row r="580" spans="1:5" hidden="1" x14ac:dyDescent="0.35">
      <c r="A580" s="5" t="s">
        <v>24</v>
      </c>
      <c r="B580">
        <v>6.3114246140949678E+18</v>
      </c>
      <c r="C580">
        <v>1483909843</v>
      </c>
      <c r="D580">
        <v>1</v>
      </c>
      <c r="E580">
        <v>10.98</v>
      </c>
    </row>
    <row r="581" spans="1:5" hidden="1" x14ac:dyDescent="0.35">
      <c r="A581" s="5" t="s">
        <v>24</v>
      </c>
      <c r="B581">
        <v>5.1482032552880906E+18</v>
      </c>
      <c r="C581">
        <v>1485296196</v>
      </c>
      <c r="D581">
        <v>1</v>
      </c>
      <c r="E581">
        <v>10.97</v>
      </c>
    </row>
    <row r="582" spans="1:5" hidden="1" x14ac:dyDescent="0.35">
      <c r="A582" s="5" t="s">
        <v>24</v>
      </c>
      <c r="B582">
        <v>9.5418700866307912E+18</v>
      </c>
      <c r="C582">
        <v>1485882505</v>
      </c>
      <c r="D582">
        <v>1</v>
      </c>
      <c r="E582">
        <v>10.97</v>
      </c>
    </row>
    <row r="583" spans="1:5" hidden="1" x14ac:dyDescent="0.35">
      <c r="A583" s="5" t="s">
        <v>24</v>
      </c>
      <c r="B583">
        <v>8.2043423221133299E+17</v>
      </c>
      <c r="C583">
        <v>1485894064</v>
      </c>
      <c r="D583">
        <v>1</v>
      </c>
      <c r="E583">
        <v>10.39</v>
      </c>
    </row>
    <row r="584" spans="1:5" hidden="1" x14ac:dyDescent="0.35">
      <c r="A584" s="5" t="s">
        <v>24</v>
      </c>
      <c r="B584">
        <v>3.24607943833971E+18</v>
      </c>
      <c r="C584">
        <v>1484848918</v>
      </c>
      <c r="D584">
        <v>1</v>
      </c>
      <c r="E584">
        <v>10.38</v>
      </c>
    </row>
    <row r="585" spans="1:5" hidden="1" x14ac:dyDescent="0.35">
      <c r="A585" s="5" t="s">
        <v>24</v>
      </c>
      <c r="B585">
        <v>4.4439639791575793E+18</v>
      </c>
      <c r="C585">
        <v>1483465165</v>
      </c>
      <c r="D585">
        <v>1</v>
      </c>
      <c r="E585">
        <v>9.5500000000000007</v>
      </c>
    </row>
    <row r="586" spans="1:5" hidden="1" x14ac:dyDescent="0.35">
      <c r="A586" s="5" t="s">
        <v>24</v>
      </c>
      <c r="B586">
        <v>8.1343582469288397E+17</v>
      </c>
      <c r="C586">
        <v>1484342015</v>
      </c>
      <c r="D586">
        <v>1</v>
      </c>
      <c r="E586">
        <v>9.5500000000000007</v>
      </c>
    </row>
    <row r="587" spans="1:5" hidden="1" x14ac:dyDescent="0.35">
      <c r="A587" s="5" t="s">
        <v>24</v>
      </c>
      <c r="B587">
        <v>5.9155835218529157E+18</v>
      </c>
      <c r="C587">
        <v>1485898588</v>
      </c>
      <c r="D587">
        <v>1</v>
      </c>
      <c r="E587">
        <v>8.98</v>
      </c>
    </row>
    <row r="588" spans="1:5" hidden="1" x14ac:dyDescent="0.35">
      <c r="A588" s="5" t="s">
        <v>24</v>
      </c>
      <c r="B588">
        <v>1.7600502170695008E+17</v>
      </c>
      <c r="C588">
        <v>1485386572</v>
      </c>
      <c r="D588">
        <v>1</v>
      </c>
      <c r="E588">
        <v>7.99</v>
      </c>
    </row>
    <row r="589" spans="1:5" hidden="1" x14ac:dyDescent="0.35">
      <c r="A589" s="5" t="s">
        <v>24</v>
      </c>
      <c r="B589">
        <v>8.5557968130358566E+17</v>
      </c>
      <c r="C589">
        <v>1485715194</v>
      </c>
      <c r="D589">
        <v>1</v>
      </c>
      <c r="E589">
        <v>7.98</v>
      </c>
    </row>
    <row r="590" spans="1:5" hidden="1" x14ac:dyDescent="0.35">
      <c r="A590" s="5" t="s">
        <v>24</v>
      </c>
      <c r="B590">
        <v>7.2830269678866317E+17</v>
      </c>
      <c r="C590">
        <v>1484168605</v>
      </c>
      <c r="D590">
        <v>1</v>
      </c>
      <c r="E590">
        <v>7.97</v>
      </c>
    </row>
    <row r="591" spans="1:5" hidden="1" x14ac:dyDescent="0.35">
      <c r="A591" s="5" t="s">
        <v>24</v>
      </c>
      <c r="B591">
        <v>7.4525919581674066E+18</v>
      </c>
      <c r="C591">
        <v>1485829428</v>
      </c>
      <c r="D591">
        <v>1</v>
      </c>
      <c r="E591">
        <v>7.96</v>
      </c>
    </row>
    <row r="592" spans="1:5" hidden="1" x14ac:dyDescent="0.35">
      <c r="A592" s="5" t="s">
        <v>24</v>
      </c>
      <c r="B592">
        <v>8.4060873269223987E+17</v>
      </c>
      <c r="C592">
        <v>1484320817</v>
      </c>
      <c r="D592">
        <v>1</v>
      </c>
      <c r="E592">
        <v>7.96</v>
      </c>
    </row>
    <row r="593" spans="1:5" hidden="1" x14ac:dyDescent="0.35">
      <c r="A593" s="5" t="s">
        <v>24</v>
      </c>
      <c r="B593">
        <v>7.4745456462889196E+18</v>
      </c>
      <c r="C593">
        <v>1485314520</v>
      </c>
      <c r="D593">
        <v>1</v>
      </c>
      <c r="E593">
        <v>6.99</v>
      </c>
    </row>
    <row r="594" spans="1:5" hidden="1" x14ac:dyDescent="0.35">
      <c r="A594" s="5" t="s">
        <v>24</v>
      </c>
      <c r="B594">
        <v>3.0818087775300818E+18</v>
      </c>
      <c r="C594">
        <v>1485292952</v>
      </c>
      <c r="D594">
        <v>1</v>
      </c>
      <c r="E594">
        <v>6.99</v>
      </c>
    </row>
    <row r="595" spans="1:5" hidden="1" x14ac:dyDescent="0.35">
      <c r="A595" s="5" t="s">
        <v>24</v>
      </c>
      <c r="B595">
        <v>6.5780162087065201E+18</v>
      </c>
      <c r="C595">
        <v>1485403264</v>
      </c>
      <c r="D595">
        <v>1</v>
      </c>
      <c r="E595">
        <v>6.98</v>
      </c>
    </row>
    <row r="596" spans="1:5" hidden="1" x14ac:dyDescent="0.35">
      <c r="A596" s="5" t="s">
        <v>24</v>
      </c>
      <c r="B596">
        <v>6.4151136119639255E+18</v>
      </c>
      <c r="C596">
        <v>1485896708</v>
      </c>
      <c r="D596">
        <v>1</v>
      </c>
      <c r="E596">
        <v>6.97</v>
      </c>
    </row>
    <row r="597" spans="1:5" hidden="1" x14ac:dyDescent="0.35">
      <c r="A597" s="5" t="s">
        <v>24</v>
      </c>
      <c r="B597">
        <v>6.5755079730760356E+18</v>
      </c>
      <c r="C597">
        <v>1485737683</v>
      </c>
      <c r="D597">
        <v>1</v>
      </c>
      <c r="E597">
        <v>6.49</v>
      </c>
    </row>
    <row r="598" spans="1:5" hidden="1" x14ac:dyDescent="0.35">
      <c r="A598" s="5" t="s">
        <v>24</v>
      </c>
      <c r="B598">
        <v>5.1101287932233871E+18</v>
      </c>
      <c r="C598">
        <v>1483644184</v>
      </c>
      <c r="D598">
        <v>1</v>
      </c>
      <c r="E598">
        <v>5.98</v>
      </c>
    </row>
    <row r="599" spans="1:5" hidden="1" x14ac:dyDescent="0.35">
      <c r="A599" s="5" t="s">
        <v>24</v>
      </c>
      <c r="B599">
        <v>1.4420961321739761E+18</v>
      </c>
      <c r="C599">
        <v>1485930160</v>
      </c>
      <c r="D599">
        <v>1</v>
      </c>
      <c r="E599">
        <v>5.59</v>
      </c>
    </row>
    <row r="600" spans="1:5" hidden="1" x14ac:dyDescent="0.35">
      <c r="A600" s="5" t="s">
        <v>24</v>
      </c>
      <c r="B600">
        <v>9.6209236315693425E+18</v>
      </c>
      <c r="C600">
        <v>1484338459</v>
      </c>
      <c r="D600">
        <v>1</v>
      </c>
      <c r="E600">
        <v>5.5</v>
      </c>
    </row>
    <row r="601" spans="1:5" hidden="1" x14ac:dyDescent="0.35">
      <c r="A601" s="5" t="s">
        <v>24</v>
      </c>
      <c r="B601">
        <v>3.7692160086404393E+18</v>
      </c>
      <c r="C601">
        <v>1484958560</v>
      </c>
      <c r="D601">
        <v>1</v>
      </c>
      <c r="E601">
        <v>5.48</v>
      </c>
    </row>
    <row r="602" spans="1:5" hidden="1" x14ac:dyDescent="0.35">
      <c r="A602" s="5" t="s">
        <v>24</v>
      </c>
      <c r="B602">
        <v>7.2871522029318256E+16</v>
      </c>
      <c r="C602">
        <v>1485327451</v>
      </c>
      <c r="D602">
        <v>1</v>
      </c>
      <c r="E602">
        <v>3.98</v>
      </c>
    </row>
    <row r="603" spans="1:5" hidden="1" x14ac:dyDescent="0.35">
      <c r="A603" s="5" t="s">
        <v>24</v>
      </c>
      <c r="B603">
        <v>9.9358766340739686E+18</v>
      </c>
      <c r="C603">
        <v>1484801431</v>
      </c>
      <c r="D603">
        <v>1</v>
      </c>
      <c r="E603">
        <v>3.98</v>
      </c>
    </row>
    <row r="604" spans="1:5" hidden="1" x14ac:dyDescent="0.35">
      <c r="A604" s="5" t="s">
        <v>24</v>
      </c>
      <c r="B604">
        <v>7.4772032124032573E+18</v>
      </c>
      <c r="C604">
        <v>1484856263</v>
      </c>
      <c r="D604">
        <v>1</v>
      </c>
      <c r="E604">
        <v>3.98</v>
      </c>
    </row>
    <row r="605" spans="1:5" hidden="1" x14ac:dyDescent="0.35">
      <c r="A605" s="5" t="s">
        <v>24</v>
      </c>
      <c r="B605">
        <v>1.0962780482318565E+18</v>
      </c>
      <c r="C605">
        <v>1484731002</v>
      </c>
      <c r="D605">
        <v>1</v>
      </c>
      <c r="E605">
        <v>3.96</v>
      </c>
    </row>
    <row r="606" spans="1:5" hidden="1" x14ac:dyDescent="0.35">
      <c r="A606" s="5" t="s">
        <v>24</v>
      </c>
      <c r="B606">
        <v>8.5557968130358566E+17</v>
      </c>
      <c r="C606">
        <v>1485649229</v>
      </c>
      <c r="D606">
        <v>1</v>
      </c>
      <c r="E606">
        <v>3.59</v>
      </c>
    </row>
    <row r="607" spans="1:5" hidden="1" x14ac:dyDescent="0.35">
      <c r="A607" s="5" t="s">
        <v>24</v>
      </c>
      <c r="B607">
        <v>1.5969126068492191E+18</v>
      </c>
      <c r="C607">
        <v>1483974967</v>
      </c>
      <c r="D607">
        <v>1</v>
      </c>
      <c r="E607">
        <v>3.5</v>
      </c>
    </row>
    <row r="608" spans="1:5" hidden="1" x14ac:dyDescent="0.35">
      <c r="A608" s="5" t="s">
        <v>24</v>
      </c>
      <c r="B608">
        <v>1.5969126068492191E+18</v>
      </c>
      <c r="C608">
        <v>1484796319</v>
      </c>
      <c r="D608">
        <v>1</v>
      </c>
      <c r="E608">
        <v>3.5</v>
      </c>
    </row>
    <row r="609" spans="1:5" hidden="1" x14ac:dyDescent="0.35">
      <c r="A609" s="5" t="s">
        <v>24</v>
      </c>
      <c r="B609">
        <v>4.402860754109908E+18</v>
      </c>
      <c r="C609">
        <v>1484682651</v>
      </c>
      <c r="D609">
        <v>1</v>
      </c>
      <c r="E609">
        <v>3.5</v>
      </c>
    </row>
    <row r="610" spans="1:5" hidden="1" x14ac:dyDescent="0.35">
      <c r="A610" s="5" t="s">
        <v>24</v>
      </c>
      <c r="B610">
        <v>1.5969126068492191E+18</v>
      </c>
      <c r="C610">
        <v>1484684674</v>
      </c>
      <c r="D610">
        <v>1</v>
      </c>
      <c r="E610">
        <v>3.5</v>
      </c>
    </row>
    <row r="611" spans="1:5" hidden="1" x14ac:dyDescent="0.35">
      <c r="A611" s="5" t="s">
        <v>24</v>
      </c>
      <c r="B611">
        <v>8.8321742581029798E+17</v>
      </c>
      <c r="C611">
        <v>1484004166</v>
      </c>
      <c r="D611">
        <v>2</v>
      </c>
      <c r="E611">
        <v>1.99</v>
      </c>
    </row>
    <row r="612" spans="1:5" hidden="1" x14ac:dyDescent="0.35">
      <c r="A612" s="5" t="s">
        <v>24</v>
      </c>
      <c r="B612">
        <v>4.6009606270222254E+18</v>
      </c>
      <c r="C612">
        <v>1484766164</v>
      </c>
      <c r="D612">
        <v>1</v>
      </c>
      <c r="E612">
        <v>1.99</v>
      </c>
    </row>
    <row r="613" spans="1:5" hidden="1" x14ac:dyDescent="0.35">
      <c r="A613" s="5" t="s">
        <v>24</v>
      </c>
      <c r="B613">
        <v>8.4690917801131238E+17</v>
      </c>
      <c r="C613">
        <v>1485382443</v>
      </c>
      <c r="D613">
        <v>1</v>
      </c>
      <c r="E613">
        <v>1.99</v>
      </c>
    </row>
    <row r="614" spans="1:5" hidden="1" x14ac:dyDescent="0.35">
      <c r="A614" s="5" t="s">
        <v>24</v>
      </c>
      <c r="B614">
        <v>7.4246547818819348E+18</v>
      </c>
      <c r="C614">
        <v>1483274750</v>
      </c>
      <c r="D614">
        <v>1</v>
      </c>
      <c r="E614">
        <v>1.99</v>
      </c>
    </row>
    <row r="615" spans="1:5" hidden="1" x14ac:dyDescent="0.35">
      <c r="A615" s="5" t="s">
        <v>24</v>
      </c>
      <c r="B615">
        <v>1.7400969495605238E+18</v>
      </c>
      <c r="C615">
        <v>1483766331</v>
      </c>
      <c r="D615">
        <v>1</v>
      </c>
      <c r="E615">
        <v>1.99</v>
      </c>
    </row>
    <row r="616" spans="1:5" x14ac:dyDescent="0.35">
      <c r="A616" s="5" t="s">
        <v>25</v>
      </c>
      <c r="B616">
        <v>4.3735798720141152E+17</v>
      </c>
      <c r="C616">
        <v>1484290624</v>
      </c>
      <c r="D616">
        <v>1</v>
      </c>
      <c r="E616">
        <v>1137.3499999999999</v>
      </c>
    </row>
    <row r="617" spans="1:5" x14ac:dyDescent="0.35">
      <c r="A617" s="5" t="s">
        <v>25</v>
      </c>
      <c r="B617">
        <v>9.725941383382274E+18</v>
      </c>
      <c r="C617">
        <v>1484000933</v>
      </c>
      <c r="D617">
        <v>1</v>
      </c>
      <c r="E617">
        <v>1101.9000000000001</v>
      </c>
    </row>
    <row r="618" spans="1:5" x14ac:dyDescent="0.35">
      <c r="A618" s="5" t="s">
        <v>25</v>
      </c>
      <c r="B618">
        <v>9.0965207616637614E+18</v>
      </c>
      <c r="C618">
        <v>1484846550</v>
      </c>
      <c r="D618">
        <v>1</v>
      </c>
      <c r="E618">
        <v>1034.55</v>
      </c>
    </row>
    <row r="619" spans="1:5" x14ac:dyDescent="0.35">
      <c r="A619" s="5" t="s">
        <v>25</v>
      </c>
      <c r="B619">
        <v>7.3963847063235707E+18</v>
      </c>
      <c r="C619">
        <v>1484770141</v>
      </c>
      <c r="D619">
        <v>1</v>
      </c>
      <c r="E619">
        <v>213.94</v>
      </c>
    </row>
    <row r="620" spans="1:5" x14ac:dyDescent="0.35">
      <c r="A620" s="5" t="s">
        <v>25</v>
      </c>
      <c r="B620">
        <v>7.7036345625649295E+18</v>
      </c>
      <c r="C620">
        <v>1484404138</v>
      </c>
      <c r="D620">
        <v>1</v>
      </c>
      <c r="E620">
        <v>194.93</v>
      </c>
    </row>
    <row r="621" spans="1:5" x14ac:dyDescent="0.35">
      <c r="A621" s="5" t="s">
        <v>25</v>
      </c>
      <c r="B621">
        <v>5.5390414906545658E+17</v>
      </c>
      <c r="C621">
        <v>1484309224</v>
      </c>
      <c r="D621">
        <v>1</v>
      </c>
      <c r="E621">
        <v>167.97</v>
      </c>
    </row>
    <row r="622" spans="1:5" x14ac:dyDescent="0.35">
      <c r="A622" s="5" t="s">
        <v>25</v>
      </c>
      <c r="B622">
        <v>7.2634276579138959E+18</v>
      </c>
      <c r="C622">
        <v>1484861545</v>
      </c>
      <c r="D622">
        <v>1</v>
      </c>
      <c r="E622">
        <v>154.97</v>
      </c>
    </row>
    <row r="623" spans="1:5" x14ac:dyDescent="0.35">
      <c r="A623" s="5" t="s">
        <v>25</v>
      </c>
      <c r="B623">
        <v>9.4235767517607404E+18</v>
      </c>
      <c r="C623">
        <v>1483471853</v>
      </c>
      <c r="D623">
        <v>1</v>
      </c>
      <c r="E623">
        <v>153.93</v>
      </c>
    </row>
    <row r="624" spans="1:5" x14ac:dyDescent="0.35">
      <c r="A624" s="5" t="s">
        <v>25</v>
      </c>
      <c r="B624">
        <v>6.4909348975198272E+17</v>
      </c>
      <c r="C624">
        <v>1483645909</v>
      </c>
      <c r="D624">
        <v>1</v>
      </c>
      <c r="E624">
        <v>120.94</v>
      </c>
    </row>
    <row r="625" spans="1:5" x14ac:dyDescent="0.35">
      <c r="A625" s="5" t="s">
        <v>25</v>
      </c>
      <c r="B625">
        <v>5.1924665984524892E+18</v>
      </c>
      <c r="C625">
        <v>1484627305</v>
      </c>
      <c r="D625">
        <v>1</v>
      </c>
      <c r="E625">
        <v>110.97</v>
      </c>
    </row>
    <row r="626" spans="1:5" x14ac:dyDescent="0.35">
      <c r="A626" s="5" t="s">
        <v>25</v>
      </c>
      <c r="B626">
        <v>1.8499069542152963E+18</v>
      </c>
      <c r="C626">
        <v>1485760289</v>
      </c>
      <c r="D626">
        <v>1</v>
      </c>
      <c r="E626">
        <v>102.93</v>
      </c>
    </row>
    <row r="627" spans="1:5" x14ac:dyDescent="0.35">
      <c r="A627" s="5" t="s">
        <v>25</v>
      </c>
      <c r="B627">
        <v>1.9402362393520279E+18</v>
      </c>
      <c r="C627">
        <v>1484980553</v>
      </c>
      <c r="D627">
        <v>1</v>
      </c>
      <c r="E627">
        <v>90.98</v>
      </c>
    </row>
    <row r="628" spans="1:5" x14ac:dyDescent="0.35">
      <c r="A628" s="5" t="s">
        <v>25</v>
      </c>
      <c r="B628">
        <v>3.7605835343893074E+18</v>
      </c>
      <c r="C628">
        <v>1484719843</v>
      </c>
      <c r="D628">
        <v>1</v>
      </c>
      <c r="E628">
        <v>84.92</v>
      </c>
    </row>
    <row r="629" spans="1:5" x14ac:dyDescent="0.35">
      <c r="A629" s="5" t="s">
        <v>25</v>
      </c>
      <c r="B629">
        <v>3.0840245702959232E+17</v>
      </c>
      <c r="C629">
        <v>1485369774</v>
      </c>
      <c r="D629">
        <v>1</v>
      </c>
      <c r="E629">
        <v>79.98</v>
      </c>
    </row>
    <row r="630" spans="1:5" x14ac:dyDescent="0.35">
      <c r="A630" s="5" t="s">
        <v>25</v>
      </c>
      <c r="B630">
        <v>9.7714372213625057E+18</v>
      </c>
      <c r="C630">
        <v>1483538997</v>
      </c>
      <c r="D630">
        <v>2</v>
      </c>
      <c r="E630">
        <v>74.989999999999995</v>
      </c>
    </row>
    <row r="631" spans="1:5" x14ac:dyDescent="0.35">
      <c r="A631" s="5" t="s">
        <v>25</v>
      </c>
      <c r="B631">
        <v>5.6095777768700959E+18</v>
      </c>
      <c r="C631">
        <v>1485914727</v>
      </c>
      <c r="D631">
        <v>1</v>
      </c>
      <c r="E631">
        <v>72.98</v>
      </c>
    </row>
    <row r="632" spans="1:5" x14ac:dyDescent="0.35">
      <c r="A632" s="5" t="s">
        <v>25</v>
      </c>
      <c r="B632">
        <v>7.3875612549210399E+18</v>
      </c>
      <c r="C632">
        <v>1485284049</v>
      </c>
      <c r="D632">
        <v>1</v>
      </c>
      <c r="E632">
        <v>69.989999999999995</v>
      </c>
    </row>
    <row r="633" spans="1:5" x14ac:dyDescent="0.35">
      <c r="A633" s="5" t="s">
        <v>25</v>
      </c>
      <c r="B633">
        <v>6.3300828100031058E+18</v>
      </c>
      <c r="C633">
        <v>1485210885</v>
      </c>
      <c r="D633">
        <v>1</v>
      </c>
      <c r="E633">
        <v>64.91</v>
      </c>
    </row>
    <row r="634" spans="1:5" x14ac:dyDescent="0.35">
      <c r="A634" s="5" t="s">
        <v>25</v>
      </c>
      <c r="B634">
        <v>2.6683646905420308E+18</v>
      </c>
      <c r="C634">
        <v>1485278846</v>
      </c>
      <c r="D634">
        <v>1</v>
      </c>
      <c r="E634">
        <v>55.99</v>
      </c>
    </row>
    <row r="635" spans="1:5" x14ac:dyDescent="0.35">
      <c r="A635" s="5" t="s">
        <v>25</v>
      </c>
      <c r="B635">
        <v>9.207853176263735E+17</v>
      </c>
      <c r="C635">
        <v>1485710273</v>
      </c>
      <c r="D635">
        <v>1</v>
      </c>
      <c r="E635">
        <v>55.99</v>
      </c>
    </row>
    <row r="636" spans="1:5" x14ac:dyDescent="0.35">
      <c r="A636" s="5" t="s">
        <v>25</v>
      </c>
      <c r="B636">
        <v>4.1740084024119808E+18</v>
      </c>
      <c r="C636">
        <v>1485903800</v>
      </c>
      <c r="D636">
        <v>1</v>
      </c>
      <c r="E636">
        <v>55.99</v>
      </c>
    </row>
    <row r="637" spans="1:5" x14ac:dyDescent="0.35">
      <c r="A637" s="5" t="s">
        <v>25</v>
      </c>
      <c r="B637">
        <v>5.9402288296220454E+17</v>
      </c>
      <c r="C637">
        <v>1485128773</v>
      </c>
      <c r="D637">
        <v>1</v>
      </c>
      <c r="E637">
        <v>52.97</v>
      </c>
    </row>
    <row r="638" spans="1:5" x14ac:dyDescent="0.35">
      <c r="A638" s="5" t="s">
        <v>25</v>
      </c>
      <c r="B638">
        <v>5.2308006311368765E+18</v>
      </c>
      <c r="C638">
        <v>1484710181</v>
      </c>
      <c r="D638">
        <v>1</v>
      </c>
      <c r="E638">
        <v>46.95</v>
      </c>
    </row>
    <row r="639" spans="1:5" x14ac:dyDescent="0.35">
      <c r="A639" s="5" t="s">
        <v>25</v>
      </c>
      <c r="B639">
        <v>4.5849268422127698E+18</v>
      </c>
      <c r="C639">
        <v>1485063570</v>
      </c>
      <c r="D639">
        <v>1</v>
      </c>
      <c r="E639">
        <v>37.979999999999997</v>
      </c>
    </row>
    <row r="640" spans="1:5" x14ac:dyDescent="0.35">
      <c r="A640" s="5" t="s">
        <v>25</v>
      </c>
      <c r="B640">
        <v>8.7151969440122665E+18</v>
      </c>
      <c r="C640">
        <v>1485157896</v>
      </c>
      <c r="D640">
        <v>1</v>
      </c>
      <c r="E640">
        <v>37.479999999999997</v>
      </c>
    </row>
    <row r="641" spans="1:5" x14ac:dyDescent="0.35">
      <c r="A641" s="5" t="s">
        <v>25</v>
      </c>
      <c r="B641">
        <v>8.4552734381635635E+18</v>
      </c>
      <c r="C641">
        <v>1483412737</v>
      </c>
      <c r="D641">
        <v>1</v>
      </c>
      <c r="E641">
        <v>36.979999999999997</v>
      </c>
    </row>
    <row r="642" spans="1:5" x14ac:dyDescent="0.35">
      <c r="A642" s="5" t="s">
        <v>25</v>
      </c>
      <c r="B642">
        <v>9.9617133906208215E+18</v>
      </c>
      <c r="C642">
        <v>1483534225</v>
      </c>
      <c r="D642">
        <v>1</v>
      </c>
      <c r="E642">
        <v>34.97</v>
      </c>
    </row>
    <row r="643" spans="1:5" x14ac:dyDescent="0.35">
      <c r="A643" s="5" t="s">
        <v>25</v>
      </c>
      <c r="B643">
        <v>3.1384332096532301E+18</v>
      </c>
      <c r="C643">
        <v>1485018827</v>
      </c>
      <c r="D643">
        <v>1</v>
      </c>
      <c r="E643">
        <v>34.96</v>
      </c>
    </row>
    <row r="644" spans="1:5" x14ac:dyDescent="0.35">
      <c r="A644" s="5" t="s">
        <v>25</v>
      </c>
      <c r="B644">
        <v>2.3678997705318876E+18</v>
      </c>
      <c r="C644">
        <v>1483732158</v>
      </c>
      <c r="D644">
        <v>1</v>
      </c>
      <c r="E644">
        <v>33.979999999999997</v>
      </c>
    </row>
    <row r="645" spans="1:5" x14ac:dyDescent="0.35">
      <c r="A645" s="5" t="s">
        <v>25</v>
      </c>
      <c r="B645">
        <v>5.0823107285196093E+18</v>
      </c>
      <c r="C645">
        <v>1484363272</v>
      </c>
      <c r="D645">
        <v>1</v>
      </c>
      <c r="E645">
        <v>30.46</v>
      </c>
    </row>
    <row r="646" spans="1:5" x14ac:dyDescent="0.35">
      <c r="A646" s="5" t="s">
        <v>25</v>
      </c>
      <c r="B646">
        <v>4.9934508630334966E+18</v>
      </c>
      <c r="C646">
        <v>1485313789</v>
      </c>
      <c r="D646">
        <v>1</v>
      </c>
      <c r="E646">
        <v>28.98</v>
      </c>
    </row>
    <row r="647" spans="1:5" x14ac:dyDescent="0.35">
      <c r="A647" s="5" t="s">
        <v>25</v>
      </c>
      <c r="B647">
        <v>9.4783625969343693E+18</v>
      </c>
      <c r="C647">
        <v>1485883654</v>
      </c>
      <c r="D647">
        <v>1</v>
      </c>
      <c r="E647">
        <v>28.98</v>
      </c>
    </row>
    <row r="648" spans="1:5" x14ac:dyDescent="0.35">
      <c r="A648" s="5" t="s">
        <v>25</v>
      </c>
      <c r="B648">
        <v>6.3813797553031537E+18</v>
      </c>
      <c r="C648">
        <v>1484008342</v>
      </c>
      <c r="D648">
        <v>1</v>
      </c>
      <c r="E648">
        <v>27.98</v>
      </c>
    </row>
    <row r="649" spans="1:5" x14ac:dyDescent="0.35">
      <c r="A649" s="5" t="s">
        <v>25</v>
      </c>
      <c r="B649">
        <v>8.768941993503191E+18</v>
      </c>
      <c r="C649">
        <v>1483636063</v>
      </c>
      <c r="D649">
        <v>1</v>
      </c>
      <c r="E649">
        <v>26.47</v>
      </c>
    </row>
    <row r="650" spans="1:5" x14ac:dyDescent="0.35">
      <c r="A650" s="5" t="s">
        <v>25</v>
      </c>
      <c r="B650">
        <v>9.7724424559497498E+17</v>
      </c>
      <c r="C650">
        <v>1484209633</v>
      </c>
      <c r="D650">
        <v>1</v>
      </c>
      <c r="E650">
        <v>24.99</v>
      </c>
    </row>
    <row r="651" spans="1:5" x14ac:dyDescent="0.35">
      <c r="A651" s="5" t="s">
        <v>25</v>
      </c>
      <c r="B651">
        <v>1.0770768104532892E+18</v>
      </c>
      <c r="C651">
        <v>1483736730</v>
      </c>
      <c r="D651">
        <v>1</v>
      </c>
      <c r="E651">
        <v>22.97</v>
      </c>
    </row>
    <row r="652" spans="1:5" x14ac:dyDescent="0.35">
      <c r="A652" s="5" t="s">
        <v>25</v>
      </c>
      <c r="B652">
        <v>8.4708697585221827E+18</v>
      </c>
      <c r="C652">
        <v>1485562664</v>
      </c>
      <c r="D652">
        <v>1</v>
      </c>
      <c r="E652">
        <v>22.88</v>
      </c>
    </row>
    <row r="653" spans="1:5" x14ac:dyDescent="0.35">
      <c r="A653" s="5" t="s">
        <v>25</v>
      </c>
      <c r="B653">
        <v>5.9246652261843942E+17</v>
      </c>
      <c r="C653">
        <v>1484027155</v>
      </c>
      <c r="D653">
        <v>1</v>
      </c>
      <c r="E653">
        <v>21.99</v>
      </c>
    </row>
    <row r="654" spans="1:5" x14ac:dyDescent="0.35">
      <c r="A654" s="5" t="s">
        <v>25</v>
      </c>
      <c r="B654">
        <v>6.3790514894073047E+18</v>
      </c>
      <c r="C654">
        <v>1484010104</v>
      </c>
      <c r="D654">
        <v>1</v>
      </c>
      <c r="E654">
        <v>21.98</v>
      </c>
    </row>
    <row r="655" spans="1:5" x14ac:dyDescent="0.35">
      <c r="A655" s="5" t="s">
        <v>25</v>
      </c>
      <c r="B655">
        <v>7.8047964942560614E+18</v>
      </c>
      <c r="C655">
        <v>1484025649</v>
      </c>
      <c r="D655">
        <v>1</v>
      </c>
      <c r="E655">
        <v>21.45</v>
      </c>
    </row>
    <row r="656" spans="1:5" x14ac:dyDescent="0.35">
      <c r="A656" s="5" t="s">
        <v>25</v>
      </c>
      <c r="B656">
        <v>1.5550763871537068E+18</v>
      </c>
      <c r="C656">
        <v>1485359576</v>
      </c>
      <c r="D656">
        <v>1</v>
      </c>
      <c r="E656">
        <v>20.49</v>
      </c>
    </row>
    <row r="657" spans="1:5" x14ac:dyDescent="0.35">
      <c r="A657" s="5" t="s">
        <v>25</v>
      </c>
      <c r="B657">
        <v>9.2017784698251387E+18</v>
      </c>
      <c r="C657">
        <v>1485225785</v>
      </c>
      <c r="D657">
        <v>1</v>
      </c>
      <c r="E657">
        <v>19.989999999999998</v>
      </c>
    </row>
    <row r="658" spans="1:5" x14ac:dyDescent="0.35">
      <c r="A658" s="5" t="s">
        <v>25</v>
      </c>
      <c r="B658">
        <v>6.5395185278979799E+18</v>
      </c>
      <c r="C658">
        <v>1484000332</v>
      </c>
      <c r="D658">
        <v>1</v>
      </c>
      <c r="E658">
        <v>18.989999999999998</v>
      </c>
    </row>
    <row r="659" spans="1:5" x14ac:dyDescent="0.35">
      <c r="A659" s="5" t="s">
        <v>25</v>
      </c>
      <c r="B659">
        <v>1.64447151029917E+18</v>
      </c>
      <c r="C659">
        <v>1484272649</v>
      </c>
      <c r="D659">
        <v>1</v>
      </c>
      <c r="E659">
        <v>18.989999999999998</v>
      </c>
    </row>
    <row r="660" spans="1:5" x14ac:dyDescent="0.35">
      <c r="A660" s="5" t="s">
        <v>25</v>
      </c>
      <c r="B660">
        <v>7.5657641071286518E+18</v>
      </c>
      <c r="C660">
        <v>1483657525</v>
      </c>
      <c r="D660">
        <v>1</v>
      </c>
      <c r="E660">
        <v>18.98</v>
      </c>
    </row>
    <row r="661" spans="1:5" x14ac:dyDescent="0.35">
      <c r="A661" s="5" t="s">
        <v>25</v>
      </c>
      <c r="B661">
        <v>5.9444732188314501E+18</v>
      </c>
      <c r="C661">
        <v>1484518851</v>
      </c>
      <c r="D661">
        <v>1</v>
      </c>
      <c r="E661">
        <v>17.940000000000001</v>
      </c>
    </row>
    <row r="662" spans="1:5" x14ac:dyDescent="0.35">
      <c r="A662" s="5" t="s">
        <v>25</v>
      </c>
      <c r="B662">
        <v>7.3533022164275855E+18</v>
      </c>
      <c r="C662">
        <v>1485229585</v>
      </c>
      <c r="D662">
        <v>1</v>
      </c>
      <c r="E662">
        <v>16.989999999999998</v>
      </c>
    </row>
    <row r="663" spans="1:5" x14ac:dyDescent="0.35">
      <c r="A663" s="5" t="s">
        <v>25</v>
      </c>
      <c r="B663">
        <v>8.0203786608586816E+17</v>
      </c>
      <c r="C663">
        <v>1484528341</v>
      </c>
      <c r="D663">
        <v>1</v>
      </c>
      <c r="E663">
        <v>16.989999999999998</v>
      </c>
    </row>
    <row r="664" spans="1:5" x14ac:dyDescent="0.35">
      <c r="A664" s="5" t="s">
        <v>25</v>
      </c>
      <c r="B664">
        <v>2.6989099794314701E+18</v>
      </c>
      <c r="C664">
        <v>1484540759</v>
      </c>
      <c r="D664">
        <v>1</v>
      </c>
      <c r="E664">
        <v>16.989999999999998</v>
      </c>
    </row>
    <row r="665" spans="1:5" x14ac:dyDescent="0.35">
      <c r="A665" s="5" t="s">
        <v>25</v>
      </c>
      <c r="B665">
        <v>4.3954719845613332E+18</v>
      </c>
      <c r="C665">
        <v>1485477841</v>
      </c>
      <c r="D665">
        <v>1</v>
      </c>
      <c r="E665">
        <v>16.97</v>
      </c>
    </row>
    <row r="666" spans="1:5" x14ac:dyDescent="0.35">
      <c r="A666" s="5" t="s">
        <v>25</v>
      </c>
      <c r="B666">
        <v>3.5390136201748188E+18</v>
      </c>
      <c r="C666">
        <v>1484707394</v>
      </c>
      <c r="D666">
        <v>1</v>
      </c>
      <c r="E666">
        <v>16.48</v>
      </c>
    </row>
    <row r="667" spans="1:5" x14ac:dyDescent="0.35">
      <c r="A667" s="5" t="s">
        <v>25</v>
      </c>
      <c r="B667">
        <v>1.8664570153239447E+18</v>
      </c>
      <c r="C667">
        <v>1484670113</v>
      </c>
      <c r="D667">
        <v>1</v>
      </c>
      <c r="E667">
        <v>14.98</v>
      </c>
    </row>
    <row r="668" spans="1:5" x14ac:dyDescent="0.35">
      <c r="A668" s="5" t="s">
        <v>25</v>
      </c>
      <c r="B668">
        <v>9.5911834281410396E+18</v>
      </c>
      <c r="C668">
        <v>1485338720</v>
      </c>
      <c r="D668">
        <v>1</v>
      </c>
      <c r="E668">
        <v>13.98</v>
      </c>
    </row>
    <row r="669" spans="1:5" x14ac:dyDescent="0.35">
      <c r="A669" s="5" t="s">
        <v>25</v>
      </c>
      <c r="B669">
        <v>9.0592528379975086E+18</v>
      </c>
      <c r="C669">
        <v>1485318493</v>
      </c>
      <c r="D669">
        <v>1</v>
      </c>
      <c r="E669">
        <v>12.99</v>
      </c>
    </row>
    <row r="670" spans="1:5" x14ac:dyDescent="0.35">
      <c r="A670" s="5" t="s">
        <v>25</v>
      </c>
      <c r="B670">
        <v>9.9182524060908319E+18</v>
      </c>
      <c r="C670">
        <v>1484613002</v>
      </c>
      <c r="D670">
        <v>1</v>
      </c>
      <c r="E670">
        <v>12.99</v>
      </c>
    </row>
    <row r="671" spans="1:5" x14ac:dyDescent="0.35">
      <c r="A671" s="5" t="s">
        <v>25</v>
      </c>
      <c r="B671">
        <v>1.5550763871537068E+18</v>
      </c>
      <c r="C671">
        <v>1483412499</v>
      </c>
      <c r="D671">
        <v>1</v>
      </c>
      <c r="E671">
        <v>12.98</v>
      </c>
    </row>
    <row r="672" spans="1:5" x14ac:dyDescent="0.35">
      <c r="A672" s="5" t="s">
        <v>25</v>
      </c>
      <c r="B672">
        <v>5.930716560276393E+18</v>
      </c>
      <c r="C672">
        <v>1484722538</v>
      </c>
      <c r="D672">
        <v>1</v>
      </c>
      <c r="E672">
        <v>10.99</v>
      </c>
    </row>
    <row r="673" spans="1:5" x14ac:dyDescent="0.35">
      <c r="A673" s="5" t="s">
        <v>25</v>
      </c>
      <c r="B673">
        <v>8.0024269105761208E+18</v>
      </c>
      <c r="C673">
        <v>1485365822</v>
      </c>
      <c r="D673">
        <v>1</v>
      </c>
      <c r="E673">
        <v>10.99</v>
      </c>
    </row>
    <row r="674" spans="1:5" x14ac:dyDescent="0.35">
      <c r="A674" s="5" t="s">
        <v>25</v>
      </c>
      <c r="B674">
        <v>9.5052793754015314E+18</v>
      </c>
      <c r="C674">
        <v>1484443678</v>
      </c>
      <c r="D674">
        <v>1</v>
      </c>
      <c r="E674">
        <v>10.99</v>
      </c>
    </row>
    <row r="675" spans="1:5" x14ac:dyDescent="0.35">
      <c r="A675" s="5" t="s">
        <v>25</v>
      </c>
      <c r="B675">
        <v>5.1237651251652685E+17</v>
      </c>
      <c r="C675">
        <v>1484413414</v>
      </c>
      <c r="D675">
        <v>1</v>
      </c>
      <c r="E675">
        <v>10.99</v>
      </c>
    </row>
    <row r="676" spans="1:5" x14ac:dyDescent="0.35">
      <c r="A676" s="5" t="s">
        <v>25</v>
      </c>
      <c r="B676">
        <v>4.3574140111615206E+18</v>
      </c>
      <c r="C676">
        <v>1485484006</v>
      </c>
      <c r="D676">
        <v>1</v>
      </c>
      <c r="E676">
        <v>10.99</v>
      </c>
    </row>
    <row r="677" spans="1:5" x14ac:dyDescent="0.35">
      <c r="A677" s="5" t="s">
        <v>25</v>
      </c>
      <c r="B677">
        <v>9.6311552132729569E+18</v>
      </c>
      <c r="C677">
        <v>1484515591</v>
      </c>
      <c r="D677">
        <v>1</v>
      </c>
      <c r="E677">
        <v>10.99</v>
      </c>
    </row>
    <row r="678" spans="1:5" x14ac:dyDescent="0.35">
      <c r="A678" s="5" t="s">
        <v>25</v>
      </c>
      <c r="B678">
        <v>9.373768824735615E+18</v>
      </c>
      <c r="C678">
        <v>1483463514</v>
      </c>
      <c r="D678">
        <v>1</v>
      </c>
      <c r="E678">
        <v>10.5</v>
      </c>
    </row>
    <row r="679" spans="1:5" x14ac:dyDescent="0.35">
      <c r="A679" s="5" t="s">
        <v>25</v>
      </c>
      <c r="B679">
        <v>5.1107264288017142E+18</v>
      </c>
      <c r="C679">
        <v>1485355484</v>
      </c>
      <c r="D679">
        <v>1</v>
      </c>
      <c r="E679">
        <v>8.99</v>
      </c>
    </row>
    <row r="680" spans="1:5" x14ac:dyDescent="0.35">
      <c r="A680" s="5" t="s">
        <v>25</v>
      </c>
      <c r="B680">
        <v>5.8439584749035008E+18</v>
      </c>
      <c r="C680">
        <v>1485478912</v>
      </c>
      <c r="D680">
        <v>1</v>
      </c>
      <c r="E680">
        <v>8.98</v>
      </c>
    </row>
    <row r="681" spans="1:5" x14ac:dyDescent="0.35">
      <c r="A681" s="5" t="s">
        <v>25</v>
      </c>
      <c r="B681">
        <v>2.2620185215566764E+18</v>
      </c>
      <c r="C681">
        <v>1485292180</v>
      </c>
      <c r="D681">
        <v>1</v>
      </c>
      <c r="E681">
        <v>6.99</v>
      </c>
    </row>
    <row r="682" spans="1:5" x14ac:dyDescent="0.35">
      <c r="A682" s="5" t="s">
        <v>25</v>
      </c>
      <c r="B682">
        <v>9.0901736440740147E+18</v>
      </c>
      <c r="C682">
        <v>1485402328</v>
      </c>
      <c r="D682">
        <v>1</v>
      </c>
      <c r="E682">
        <v>6.99</v>
      </c>
    </row>
    <row r="683" spans="1:5" x14ac:dyDescent="0.35">
      <c r="A683" s="5" t="s">
        <v>25</v>
      </c>
      <c r="B683">
        <v>2.0772939970309844E+18</v>
      </c>
      <c r="C683">
        <v>1485904887</v>
      </c>
      <c r="D683">
        <v>1</v>
      </c>
      <c r="E683">
        <v>6.99</v>
      </c>
    </row>
    <row r="684" spans="1:5" x14ac:dyDescent="0.35">
      <c r="A684" s="5" t="s">
        <v>25</v>
      </c>
      <c r="B684">
        <v>5.8255965629863411E+17</v>
      </c>
      <c r="C684">
        <v>1485554158</v>
      </c>
      <c r="D684">
        <v>1</v>
      </c>
      <c r="E684">
        <v>6.97</v>
      </c>
    </row>
    <row r="685" spans="1:5" x14ac:dyDescent="0.35">
      <c r="A685" s="5" t="s">
        <v>25</v>
      </c>
      <c r="B685">
        <v>4.5358782373281132E+18</v>
      </c>
      <c r="C685">
        <v>1485802555</v>
      </c>
      <c r="D685">
        <v>1</v>
      </c>
      <c r="E685">
        <v>5.97</v>
      </c>
    </row>
    <row r="686" spans="1:5" x14ac:dyDescent="0.35">
      <c r="A686" s="5" t="s">
        <v>25</v>
      </c>
      <c r="B686">
        <v>1.1700698785047629E+17</v>
      </c>
      <c r="C686">
        <v>1484462565</v>
      </c>
      <c r="D686">
        <v>1</v>
      </c>
      <c r="E686">
        <v>3.98</v>
      </c>
    </row>
    <row r="687" spans="1:5" x14ac:dyDescent="0.35">
      <c r="A687" s="5" t="s">
        <v>25</v>
      </c>
      <c r="B687">
        <v>1.292690271020897E+18</v>
      </c>
      <c r="C687">
        <v>1485752084</v>
      </c>
      <c r="D687">
        <v>1</v>
      </c>
      <c r="E687">
        <v>3.24</v>
      </c>
    </row>
    <row r="688" spans="1:5" x14ac:dyDescent="0.35">
      <c r="A688" s="5" t="s">
        <v>25</v>
      </c>
      <c r="B688">
        <v>9.7374611944584131E+18</v>
      </c>
      <c r="C688">
        <v>1485199595</v>
      </c>
      <c r="D688">
        <v>1</v>
      </c>
      <c r="E688">
        <v>2.5</v>
      </c>
    </row>
    <row r="689" spans="1:5" x14ac:dyDescent="0.35">
      <c r="A689" s="5" t="s">
        <v>25</v>
      </c>
      <c r="B689">
        <v>7.2457675368024259E+18</v>
      </c>
      <c r="C689">
        <v>1485181174</v>
      </c>
      <c r="D689">
        <v>1</v>
      </c>
      <c r="E689">
        <v>1.99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57678-6F6D-4598-9AE9-04E08ED84D7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AE00A2-7450-412C-9148-72BFBC8BB3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Chi-Square Test</vt:lpstr>
      <vt:lpstr>T-Test AOV</vt:lpstr>
      <vt:lpstr>converter_revenue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Fagoaga</dc:creator>
  <cp:lastModifiedBy>Jonathan Fagoaga</cp:lastModifiedBy>
  <dcterms:created xsi:type="dcterms:W3CDTF">2026-05-18T22:31:14Z</dcterms:created>
  <dcterms:modified xsi:type="dcterms:W3CDTF">2026-05-21T21:51:16Z</dcterms:modified>
</cp:coreProperties>
</file>